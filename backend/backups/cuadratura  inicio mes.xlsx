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emerson\"/>
    </mc:Choice>
  </mc:AlternateContent>
  <xr:revisionPtr revIDLastSave="0" documentId="13_ncr:1_{199BC7A7-FF09-4ECD-A79C-E76AF95D1BD1}" xr6:coauthVersionLast="47" xr6:coauthVersionMax="47" xr10:uidLastSave="{00000000-0000-0000-0000-000000000000}"/>
  <bookViews>
    <workbookView xWindow="-110" yWindow="-110" windowWidth="19420" windowHeight="10420" tabRatio="798" activeTab="4" xr2:uid="{00000000-000D-0000-FFFF-FFFF00000000}"/>
  </bookViews>
  <sheets>
    <sheet name="Ventas" sheetId="1" r:id="rId1"/>
    <sheet name="Transbank" sheetId="2" r:id="rId2"/>
    <sheet name="Cheques y trans." sheetId="5" r:id="rId3"/>
    <sheet name="Retiros" sheetId="6" r:id="rId4"/>
    <sheet name="Cuadratura" sheetId="10" r:id="rId5"/>
    <sheet name="Delivery" sheetId="11" r:id="rId6"/>
    <sheet name="asistencia" sheetId="12" r:id="rId7"/>
    <sheet name="Resumen" sheetId="7" r:id="rId8"/>
    <sheet name="GASTOS" sheetId="13" r:id="rId9"/>
  </sheets>
  <definedNames>
    <definedName name="_xlnm._FilterDatabase" localSheetId="3" hidden="1">Retiros!$A$3:$E$19</definedName>
  </definedNames>
  <calcPr calcId="181029"/>
  <pivotCaches>
    <pivotCache cacheId="6" r:id="rId10"/>
    <pivotCache cacheId="9" r:id="rId11"/>
    <pivotCache cacheId="12" r:id="rId12"/>
    <pivotCache cacheId="15" r:id="rId13"/>
  </pivotCaches>
  <fileRecoveryPr autoRecover="0"/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  <c r="G9" i="10"/>
  <c r="G10" i="10"/>
  <c r="G11" i="10"/>
  <c r="G2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J32" i="10"/>
  <c r="L32" i="10" s="1"/>
  <c r="L30" i="10"/>
  <c r="L31" i="10"/>
  <c r="H31" i="10"/>
  <c r="H32" i="10"/>
  <c r="F29" i="10"/>
  <c r="F30" i="10"/>
  <c r="F31" i="10"/>
  <c r="F32" i="10"/>
  <c r="E28" i="10"/>
  <c r="E29" i="10"/>
  <c r="E30" i="10"/>
  <c r="E31" i="10"/>
  <c r="E32" i="10"/>
  <c r="D27" i="10"/>
  <c r="D28" i="10"/>
  <c r="D29" i="10"/>
  <c r="D30" i="10"/>
  <c r="D31" i="10"/>
  <c r="D32" i="10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C35" i="2" l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4" i="2"/>
  <c r="F3" i="10" l="1"/>
  <c r="F8" i="10"/>
  <c r="F9" i="10"/>
  <c r="D3" i="10"/>
  <c r="E3" i="10" s="1"/>
  <c r="H3" i="10"/>
  <c r="D4" i="10"/>
  <c r="E4" i="10"/>
  <c r="H4" i="10"/>
  <c r="D5" i="10"/>
  <c r="E5" i="10" s="1"/>
  <c r="H5" i="10"/>
  <c r="D6" i="10"/>
  <c r="E6" i="10" s="1"/>
  <c r="H6" i="10"/>
  <c r="D7" i="10"/>
  <c r="E7" i="10" s="1"/>
  <c r="H7" i="10"/>
  <c r="D8" i="10"/>
  <c r="E8" i="10" s="1"/>
  <c r="H8" i="10"/>
  <c r="D9" i="10"/>
  <c r="E9" i="10" s="1"/>
  <c r="H9" i="10"/>
  <c r="D10" i="10"/>
  <c r="E10" i="10" s="1"/>
  <c r="H10" i="10"/>
  <c r="D11" i="10"/>
  <c r="E11" i="10" s="1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2" i="10"/>
  <c r="I4" i="10" l="1"/>
  <c r="I5" i="10"/>
  <c r="I6" i="10"/>
  <c r="I7" i="10"/>
  <c r="I8" i="10"/>
  <c r="J8" i="10" s="1"/>
  <c r="I9" i="10"/>
  <c r="J9" i="10" s="1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J30" i="10" s="1"/>
  <c r="I31" i="10"/>
  <c r="J31" i="10" s="1"/>
  <c r="I32" i="10"/>
  <c r="I3" i="10"/>
  <c r="J3" i="10" s="1"/>
  <c r="F2" i="10" l="1"/>
  <c r="D2" i="10"/>
  <c r="C4" i="2"/>
  <c r="J2" i="10" l="1"/>
  <c r="L9" i="10"/>
  <c r="F28" i="10"/>
  <c r="D12" i="10"/>
  <c r="D13" i="10"/>
  <c r="E13" i="10" s="1"/>
  <c r="D14" i="10"/>
  <c r="D15" i="10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7" i="10"/>
  <c r="J29" i="10" l="1"/>
  <c r="L29" i="10" s="1"/>
  <c r="J28" i="10"/>
  <c r="L28" i="10" s="1"/>
  <c r="L8" i="10"/>
  <c r="E15" i="10"/>
  <c r="E26" i="10"/>
  <c r="E14" i="10"/>
  <c r="E12" i="10"/>
  <c r="L2" i="10"/>
  <c r="E2" i="10"/>
  <c r="F6" i="10" l="1"/>
  <c r="J6" i="10" s="1"/>
  <c r="F10" i="10"/>
  <c r="J10" i="10" s="1"/>
  <c r="L10" i="10" s="1"/>
  <c r="F11" i="10"/>
  <c r="J11" i="10" s="1"/>
  <c r="L11" i="10" s="1"/>
  <c r="F12" i="10"/>
  <c r="J12" i="10" s="1"/>
  <c r="L12" i="10" s="1"/>
  <c r="F13" i="10"/>
  <c r="J13" i="10" s="1"/>
  <c r="L13" i="10" s="1"/>
  <c r="F14" i="10"/>
  <c r="J14" i="10" s="1"/>
  <c r="L14" i="10" s="1"/>
  <c r="F15" i="10"/>
  <c r="J15" i="10" s="1"/>
  <c r="L15" i="10" s="1"/>
  <c r="F16" i="10"/>
  <c r="J16" i="10" s="1"/>
  <c r="L16" i="10" s="1"/>
  <c r="F17" i="10"/>
  <c r="J17" i="10" s="1"/>
  <c r="L17" i="10" s="1"/>
  <c r="F18" i="10"/>
  <c r="J18" i="10" s="1"/>
  <c r="L18" i="10" s="1"/>
  <c r="F19" i="10"/>
  <c r="J19" i="10" s="1"/>
  <c r="L19" i="10" s="1"/>
  <c r="F20" i="10"/>
  <c r="J20" i="10" s="1"/>
  <c r="L20" i="10" s="1"/>
  <c r="F21" i="10"/>
  <c r="J21" i="10" s="1"/>
  <c r="L21" i="10" s="1"/>
  <c r="F22" i="10"/>
  <c r="J22" i="10" s="1"/>
  <c r="L22" i="10" s="1"/>
  <c r="F23" i="10"/>
  <c r="J23" i="10" s="1"/>
  <c r="L23" i="10" s="1"/>
  <c r="F24" i="10"/>
  <c r="F25" i="10"/>
  <c r="J25" i="10" s="1"/>
  <c r="L25" i="10" s="1"/>
  <c r="F26" i="10"/>
  <c r="J26" i="10" s="1"/>
  <c r="L26" i="10" s="1"/>
  <c r="F27" i="10"/>
  <c r="J27" i="10" s="1"/>
  <c r="L27" i="10" s="1"/>
  <c r="J24" i="10" l="1"/>
  <c r="L24" i="10" s="1"/>
  <c r="F7" i="10"/>
  <c r="J7" i="10" s="1"/>
  <c r="L7" i="10" s="1"/>
  <c r="F5" i="10"/>
  <c r="J5" i="10" s="1"/>
  <c r="L5" i="10" s="1"/>
  <c r="L6" i="10"/>
  <c r="B35" i="2"/>
  <c r="L3" i="10" l="1"/>
  <c r="F4" i="10"/>
  <c r="J4" i="10" s="1"/>
  <c r="L4" i="10" s="1"/>
  <c r="D106" i="6" l="1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J93" i="1" l="1"/>
  <c r="D91" i="1" l="1"/>
  <c r="M6" i="12" l="1"/>
  <c r="K6" i="12"/>
  <c r="L6" i="12" s="1"/>
  <c r="N6" i="12" s="1"/>
  <c r="B93" i="1" l="1"/>
  <c r="D148" i="6" l="1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G4" i="6" l="1"/>
  <c r="B92" i="2" l="1"/>
  <c r="D447" i="6" l="1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31" i="5" l="1"/>
  <c r="D32" i="5"/>
  <c r="D33" i="5"/>
  <c r="D4" i="2" l="1"/>
  <c r="F4" i="1"/>
  <c r="F3" i="11"/>
  <c r="F4" i="11"/>
  <c r="F5" i="11"/>
  <c r="F6" i="11"/>
  <c r="F7" i="11"/>
  <c r="F8" i="11"/>
  <c r="F9" i="11"/>
  <c r="F10" i="11"/>
  <c r="F11" i="11"/>
  <c r="F12" i="11"/>
  <c r="F2" i="1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4" i="5"/>
</calcChain>
</file>

<file path=xl/sharedStrings.xml><?xml version="1.0" encoding="utf-8"?>
<sst xmlns="http://schemas.openxmlformats.org/spreadsheetml/2006/main" count="106" uniqueCount="69">
  <si>
    <t>Detalle de ventas con Boleta</t>
  </si>
  <si>
    <t>diferencia</t>
  </si>
  <si>
    <t>Fecha</t>
  </si>
  <si>
    <t>Z</t>
  </si>
  <si>
    <t>Boletas</t>
  </si>
  <si>
    <t>Monto</t>
  </si>
  <si>
    <t>Repetir Monto</t>
  </si>
  <si>
    <t>Cuadratura Cero</t>
  </si>
  <si>
    <t>Observación</t>
  </si>
  <si>
    <t>Detalle transbank</t>
  </si>
  <si>
    <t>Observación: Debito o Crédito</t>
  </si>
  <si>
    <t>Detalle Vales Tickets  . Sodexo  Recibidos</t>
  </si>
  <si>
    <t>Retiros caja</t>
  </si>
  <si>
    <t>Ventas con Boleta</t>
  </si>
  <si>
    <t>Ventas sodexo ticket</t>
  </si>
  <si>
    <t>Retiros</t>
  </si>
  <si>
    <t>Ventas TRANSBANK</t>
  </si>
  <si>
    <t>Suma de Monto</t>
  </si>
  <si>
    <t>Total</t>
  </si>
  <si>
    <t>Total general</t>
  </si>
  <si>
    <t>Dia</t>
  </si>
  <si>
    <t>Boleta inicial</t>
  </si>
  <si>
    <t>Boleta Final</t>
  </si>
  <si>
    <t>monto ventas</t>
  </si>
  <si>
    <t>Monto ventas Sin IVA</t>
  </si>
  <si>
    <t>Transbank</t>
  </si>
  <si>
    <t>monto sodexo y otros</t>
  </si>
  <si>
    <t>retiros</t>
  </si>
  <si>
    <t>saldo caja inicio</t>
  </si>
  <si>
    <t>Saldo Efectivo</t>
  </si>
  <si>
    <t>Digite el Efectivo en Caja Real</t>
  </si>
  <si>
    <t>Monto a Retirar</t>
  </si>
  <si>
    <t>entegado</t>
  </si>
  <si>
    <t>Apoloneo</t>
  </si>
  <si>
    <t xml:space="preserve">ASISTENCIA Y RETIROS </t>
  </si>
  <si>
    <t xml:space="preserve">PAGOS ADELANTOS </t>
  </si>
  <si>
    <t xml:space="preserve">gastos domingo </t>
  </si>
  <si>
    <t>gatos domingo</t>
  </si>
  <si>
    <t>retiros efectivo</t>
  </si>
  <si>
    <t xml:space="preserve">gastos </t>
  </si>
  <si>
    <t xml:space="preserve">monto  </t>
  </si>
  <si>
    <t>descripcion</t>
  </si>
  <si>
    <t>TOTAL MEDIA</t>
  </si>
  <si>
    <t>TOTAL EFECTIVO</t>
  </si>
  <si>
    <t>claudio</t>
  </si>
  <si>
    <t>lorenza</t>
  </si>
  <si>
    <t>yuliño</t>
  </si>
  <si>
    <t>ingreso</t>
  </si>
  <si>
    <t>salida</t>
  </si>
  <si>
    <t>horas</t>
  </si>
  <si>
    <t xml:space="preserve">total x dia </t>
  </si>
  <si>
    <t xml:space="preserve">total x dia de sueldo </t>
  </si>
  <si>
    <t>aldo</t>
  </si>
  <si>
    <t>RCtobalaba</t>
  </si>
  <si>
    <t>Debito</t>
  </si>
  <si>
    <t>Credito</t>
  </si>
  <si>
    <t>falto y entro edwin</t>
  </si>
  <si>
    <t>llego</t>
  </si>
  <si>
    <t xml:space="preserve">palta </t>
  </si>
  <si>
    <t>palta</t>
  </si>
  <si>
    <t>10kilos</t>
  </si>
  <si>
    <t>7kilos</t>
  </si>
  <si>
    <t>5kilos</t>
  </si>
  <si>
    <t>falto</t>
  </si>
  <si>
    <t>15kilos</t>
  </si>
  <si>
    <t>karol</t>
  </si>
  <si>
    <t>domingo</t>
  </si>
  <si>
    <t>LLEGO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</si>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</sst>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&quot;$&quot;\ #,##0"/>
    <numFmt numFmtId="166" formatCode="_-* #,##0_-;\-* #,##0_-;_-* &quot;-&quot;??_-;_-@_-"/>
    <numFmt numFmtId="167" formatCode="_-&quot;$&quot;\ * #,##0_-;\-&quot;$&quot;\ * #,##0_-;_-&quot;$&quot;\ * &quot;-&quot;??_-;_-@_-"/>
    <numFmt numFmtId="168" formatCode="#,##0;[Red]#,##0"/>
  </numFmts>
  <fonts count="18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2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Protection="1"/>
    <xf numFmtId="0" fontId="0" fillId="0" borderId="1" xfId="0" applyBorder="1" applyProtection="1"/>
    <xf numFmtId="165" fontId="0" fillId="0" borderId="0" xfId="0" quotePrefix="1" applyNumberFormat="1" applyAlignment="1" applyProtection="1">
      <alignment horizontal="left"/>
    </xf>
    <xf numFmtId="165" fontId="0" fillId="0" borderId="0" xfId="0" applyNumberFormat="1" applyProtection="1"/>
    <xf numFmtId="0" fontId="2" fillId="2" borderId="1" xfId="0" applyFont="1" applyFill="1" applyBorder="1" applyAlignment="1" applyProtection="1">
      <alignment horizontal="center" vertical="center" wrapText="1"/>
    </xf>
    <xf numFmtId="165" fontId="2" fillId="2" borderId="1" xfId="0" applyNumberFormat="1" applyFont="1" applyFill="1" applyBorder="1" applyAlignment="1" applyProtection="1">
      <alignment horizontal="center" vertical="center" wrapText="1"/>
    </xf>
    <xf numFmtId="14" fontId="0" fillId="0" borderId="1" xfId="0" applyNumberFormat="1" applyBorder="1" applyProtection="1"/>
    <xf numFmtId="165" fontId="0" fillId="0" borderId="1" xfId="0" applyNumberFormat="1" applyBorder="1" applyProtection="1"/>
    <xf numFmtId="166" fontId="0" fillId="0" borderId="0" xfId="1" applyNumberFormat="1" applyFont="1"/>
    <xf numFmtId="0" fontId="0" fillId="0" borderId="1" xfId="0" applyBorder="1"/>
    <xf numFmtId="0" fontId="3" fillId="3" borderId="1" xfId="0" applyFont="1" applyFill="1" applyBorder="1" applyAlignment="1" applyProtection="1">
      <alignment horizontal="center" vertical="center" wrapText="1"/>
    </xf>
    <xf numFmtId="165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quotePrefix="1" applyFont="1" applyFill="1" applyBorder="1" applyAlignment="1" applyProtection="1">
      <alignment horizontal="center" vertical="center" wrapText="1"/>
    </xf>
    <xf numFmtId="165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166" fontId="0" fillId="0" borderId="1" xfId="1" applyNumberFormat="1" applyFont="1" applyFill="1" applyBorder="1" applyProtection="1"/>
    <xf numFmtId="0" fontId="0" fillId="3" borderId="0" xfId="0" applyFill="1"/>
    <xf numFmtId="0" fontId="0" fillId="6" borderId="0" xfId="0" applyFill="1"/>
    <xf numFmtId="14" fontId="0" fillId="0" borderId="0" xfId="0" applyNumberFormat="1" applyFill="1"/>
    <xf numFmtId="0" fontId="0" fillId="0" borderId="0" xfId="0" applyFill="1"/>
    <xf numFmtId="0" fontId="0" fillId="7" borderId="0" xfId="0" applyFill="1"/>
    <xf numFmtId="14" fontId="0" fillId="0" borderId="1" xfId="0" applyNumberFormat="1" applyFill="1" applyBorder="1" applyProtection="1"/>
    <xf numFmtId="0" fontId="0" fillId="0" borderId="1" xfId="0" applyFill="1" applyBorder="1" applyProtection="1"/>
    <xf numFmtId="165" fontId="0" fillId="0" borderId="1" xfId="0" applyNumberFormat="1" applyFill="1" applyBorder="1" applyProtection="1"/>
    <xf numFmtId="0" fontId="0" fillId="0" borderId="0" xfId="0" applyFill="1" applyProtection="1"/>
    <xf numFmtId="165" fontId="0" fillId="0" borderId="0" xfId="0" applyNumberFormat="1" applyFill="1" applyProtection="1"/>
    <xf numFmtId="0" fontId="0" fillId="0" borderId="1" xfId="0" applyFill="1" applyBorder="1"/>
    <xf numFmtId="166" fontId="7" fillId="9" borderId="1" xfId="1" applyNumberFormat="1" applyFont="1" applyFill="1" applyBorder="1" applyAlignment="1" applyProtection="1">
      <alignment horizontal="center" vertical="center" wrapText="1"/>
    </xf>
    <xf numFmtId="166" fontId="7" fillId="8" borderId="1" xfId="1" applyNumberFormat="1" applyFont="1" applyFill="1" applyBorder="1" applyAlignment="1" applyProtection="1">
      <alignment horizontal="center" vertical="center" wrapText="1"/>
    </xf>
    <xf numFmtId="0" fontId="9" fillId="0" borderId="0" xfId="0" applyFont="1"/>
    <xf numFmtId="166" fontId="9" fillId="0" borderId="0" xfId="1" applyNumberFormat="1" applyFont="1"/>
    <xf numFmtId="3" fontId="9" fillId="0" borderId="0" xfId="1" applyNumberFormat="1" applyFont="1"/>
    <xf numFmtId="3" fontId="0" fillId="0" borderId="0" xfId="1" applyNumberFormat="1" applyFont="1"/>
    <xf numFmtId="165" fontId="7" fillId="10" borderId="0" xfId="0" applyNumberFormat="1" applyFont="1" applyFill="1" applyBorder="1" applyAlignment="1" applyProtection="1">
      <alignment horizontal="center" vertical="center" wrapText="1"/>
    </xf>
    <xf numFmtId="1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3" fillId="0" borderId="0" xfId="0" applyFont="1" applyFill="1" applyAlignment="1">
      <alignment horizontal="center"/>
    </xf>
    <xf numFmtId="0" fontId="1" fillId="0" borderId="1" xfId="0" applyFont="1" applyBorder="1"/>
    <xf numFmtId="166" fontId="1" fillId="8" borderId="1" xfId="1" applyNumberFormat="1" applyFont="1" applyFill="1" applyBorder="1" applyProtection="1"/>
    <xf numFmtId="165" fontId="0" fillId="0" borderId="1" xfId="0" applyNumberFormat="1" applyFill="1" applyBorder="1"/>
    <xf numFmtId="14" fontId="0" fillId="0" borderId="0" xfId="0" applyNumberFormat="1"/>
    <xf numFmtId="167" fontId="0" fillId="0" borderId="0" xfId="2" applyNumberFormat="1" applyFont="1"/>
    <xf numFmtId="0" fontId="0" fillId="0" borderId="0" xfId="0" applyAlignment="1">
      <alignment horizontal="right"/>
    </xf>
    <xf numFmtId="167" fontId="0" fillId="0" borderId="0" xfId="0" applyNumberFormat="1"/>
    <xf numFmtId="3" fontId="1" fillId="0" borderId="1" xfId="0" applyNumberFormat="1" applyFont="1" applyBorder="1"/>
    <xf numFmtId="0" fontId="1" fillId="0" borderId="0" xfId="0" applyFont="1" applyFill="1"/>
    <xf numFmtId="166" fontId="0" fillId="0" borderId="0" xfId="0" applyNumberFormat="1" applyFill="1"/>
    <xf numFmtId="16" fontId="0" fillId="0" borderId="0" xfId="0" applyNumberFormat="1"/>
    <xf numFmtId="16" fontId="1" fillId="0" borderId="0" xfId="0" applyNumberFormat="1" applyFont="1"/>
    <xf numFmtId="0" fontId="0" fillId="0" borderId="1" xfId="0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165" fontId="0" fillId="0" borderId="3" xfId="0" applyNumberFormat="1" applyBorder="1"/>
    <xf numFmtId="165" fontId="0" fillId="0" borderId="4" xfId="0" applyNumberFormat="1" applyBorder="1"/>
    <xf numFmtId="0" fontId="0" fillId="0" borderId="4" xfId="0" applyBorder="1"/>
    <xf numFmtId="164" fontId="0" fillId="0" borderId="1" xfId="2" applyFont="1" applyBorder="1"/>
    <xf numFmtId="2" fontId="0" fillId="0" borderId="0" xfId="0" applyNumberFormat="1"/>
    <xf numFmtId="0" fontId="0" fillId="0" borderId="0" xfId="0" applyFont="1" applyFill="1"/>
    <xf numFmtId="165" fontId="0" fillId="0" borderId="0" xfId="0" applyNumberFormat="1" applyAlignment="1" applyProtection="1">
      <alignment horizontal="left"/>
    </xf>
    <xf numFmtId="0" fontId="3" fillId="0" borderId="0" xfId="0" applyFont="1" applyFill="1" applyAlignment="1">
      <alignment horizontal="center"/>
    </xf>
    <xf numFmtId="165" fontId="1" fillId="0" borderId="1" xfId="1" applyNumberFormat="1" applyFont="1" applyFill="1" applyBorder="1" applyProtection="1"/>
    <xf numFmtId="14" fontId="1" fillId="0" borderId="0" xfId="0" applyNumberFormat="1" applyFont="1"/>
    <xf numFmtId="0" fontId="0" fillId="0" borderId="1" xfId="0" applyFill="1" applyBorder="1" applyAlignment="1" applyProtection="1">
      <alignment horizontal="right"/>
    </xf>
    <xf numFmtId="0" fontId="1" fillId="0" borderId="1" xfId="0" applyFont="1" applyFill="1" applyBorder="1" applyAlignment="1" applyProtection="1">
      <alignment horizontal="right"/>
    </xf>
    <xf numFmtId="0" fontId="0" fillId="0" borderId="1" xfId="0" applyFill="1" applyBorder="1" applyAlignment="1" applyProtection="1">
      <alignment horizontal="right" vertical="center"/>
    </xf>
    <xf numFmtId="0" fontId="1" fillId="0" borderId="1" xfId="0" applyFont="1" applyFill="1" applyBorder="1" applyProtection="1"/>
    <xf numFmtId="0" fontId="12" fillId="0" borderId="1" xfId="0" applyFont="1" applyBorder="1"/>
    <xf numFmtId="1" fontId="1" fillId="0" borderId="1" xfId="0" applyNumberFormat="1" applyFont="1" applyFill="1" applyBorder="1" applyProtection="1"/>
    <xf numFmtId="3" fontId="0" fillId="0" borderId="0" xfId="0" applyNumberFormat="1"/>
    <xf numFmtId="166" fontId="0" fillId="0" borderId="0" xfId="0" applyNumberFormat="1"/>
    <xf numFmtId="16" fontId="0" fillId="0" borderId="0" xfId="0" applyNumberFormat="1" applyFill="1"/>
    <xf numFmtId="16" fontId="12" fillId="0" borderId="0" xfId="0" applyNumberFormat="1" applyFont="1"/>
    <xf numFmtId="0" fontId="0" fillId="0" borderId="2" xfId="0" applyFill="1" applyBorder="1" applyProtection="1"/>
    <xf numFmtId="165" fontId="0" fillId="0" borderId="2" xfId="0" applyNumberFormat="1" applyFill="1" applyBorder="1" applyProtection="1"/>
    <xf numFmtId="3" fontId="0" fillId="0" borderId="1" xfId="0" applyNumberFormat="1" applyFill="1" applyBorder="1"/>
    <xf numFmtId="0" fontId="1" fillId="0" borderId="1" xfId="0" applyFont="1" applyFill="1" applyBorder="1"/>
    <xf numFmtId="20" fontId="0" fillId="0" borderId="0" xfId="0" applyNumberFormat="1" applyFill="1"/>
    <xf numFmtId="16" fontId="0" fillId="0" borderId="1" xfId="0" applyNumberFormat="1" applyBorder="1"/>
    <xf numFmtId="20" fontId="13" fillId="0" borderId="1" xfId="0" applyNumberFormat="1" applyFont="1" applyFill="1" applyBorder="1"/>
    <xf numFmtId="0" fontId="0" fillId="12" borderId="1" xfId="0" applyFill="1" applyBorder="1"/>
    <xf numFmtId="165" fontId="3" fillId="0" borderId="0" xfId="0" applyNumberFormat="1" applyFont="1" applyFill="1" applyAlignment="1">
      <alignment horizontal="center"/>
    </xf>
    <xf numFmtId="165" fontId="2" fillId="5" borderId="11" xfId="0" applyNumberFormat="1" applyFont="1" applyFill="1" applyBorder="1" applyAlignment="1">
      <alignment horizontal="center" vertical="center" wrapText="1"/>
    </xf>
    <xf numFmtId="167" fontId="0" fillId="0" borderId="0" xfId="2" applyNumberFormat="1" applyFont="1" applyFill="1"/>
    <xf numFmtId="0" fontId="12" fillId="0" borderId="1" xfId="0" applyFont="1" applyFill="1" applyBorder="1"/>
    <xf numFmtId="14" fontId="0" fillId="13" borderId="1" xfId="0" applyNumberFormat="1" applyFill="1" applyBorder="1"/>
    <xf numFmtId="165" fontId="0" fillId="13" borderId="1" xfId="0" applyNumberFormat="1" applyFill="1" applyBorder="1"/>
    <xf numFmtId="165" fontId="0" fillId="13" borderId="1" xfId="0" applyNumberFormat="1" applyFill="1" applyBorder="1" applyProtection="1"/>
    <xf numFmtId="0" fontId="1" fillId="13" borderId="1" xfId="0" applyFont="1" applyFill="1" applyBorder="1"/>
    <xf numFmtId="0" fontId="0" fillId="13" borderId="1" xfId="0" applyFill="1" applyBorder="1"/>
    <xf numFmtId="0" fontId="0" fillId="13" borderId="0" xfId="0" applyFill="1"/>
    <xf numFmtId="0" fontId="0" fillId="13" borderId="2" xfId="0" applyFill="1" applyBorder="1"/>
    <xf numFmtId="165" fontId="0" fillId="8" borderId="1" xfId="0" applyNumberFormat="1" applyFill="1" applyBorder="1"/>
    <xf numFmtId="0" fontId="0" fillId="14" borderId="1" xfId="0" applyFill="1" applyBorder="1"/>
    <xf numFmtId="16" fontId="0" fillId="14" borderId="1" xfId="0" applyNumberFormat="1" applyFill="1" applyBorder="1"/>
    <xf numFmtId="0" fontId="15" fillId="11" borderId="1" xfId="0" applyFont="1" applyFill="1" applyBorder="1" applyAlignment="1">
      <alignment horizontal="center" vertical="center" wrapText="1"/>
    </xf>
    <xf numFmtId="0" fontId="1" fillId="0" borderId="0" xfId="0" applyFont="1"/>
    <xf numFmtId="165" fontId="0" fillId="15" borderId="1" xfId="0" applyNumberFormat="1" applyFill="1" applyBorder="1"/>
    <xf numFmtId="167" fontId="0" fillId="0" borderId="1" xfId="2" applyNumberFormat="1" applyFont="1" applyBorder="1"/>
    <xf numFmtId="167" fontId="0" fillId="14" borderId="1" xfId="2" applyNumberFormat="1" applyFont="1" applyFill="1" applyBorder="1"/>
    <xf numFmtId="167" fontId="16" fillId="12" borderId="1" xfId="2" applyNumberFormat="1" applyFont="1" applyFill="1" applyBorder="1"/>
    <xf numFmtId="166" fontId="1" fillId="8" borderId="2" xfId="1" applyNumberFormat="1" applyFont="1" applyFill="1" applyBorder="1" applyProtection="1"/>
    <xf numFmtId="0" fontId="14" fillId="0" borderId="1" xfId="0" applyFont="1" applyFill="1" applyBorder="1"/>
    <xf numFmtId="165" fontId="1" fillId="0" borderId="1" xfId="0" applyNumberFormat="1" applyFont="1" applyFill="1" applyBorder="1" applyProtection="1"/>
    <xf numFmtId="0" fontId="1" fillId="1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7" fillId="0" borderId="5" xfId="0" pivotButton="1" applyFont="1" applyBorder="1"/>
    <xf numFmtId="166" fontId="17" fillId="0" borderId="6" xfId="0" applyNumberFormat="1" applyFont="1" applyBorder="1"/>
    <xf numFmtId="0" fontId="17" fillId="0" borderId="6" xfId="0" applyFont="1" applyBorder="1"/>
    <xf numFmtId="14" fontId="17" fillId="0" borderId="5" xfId="0" applyNumberFormat="1" applyFont="1" applyBorder="1"/>
    <xf numFmtId="14" fontId="17" fillId="0" borderId="7" xfId="0" applyNumberFormat="1" applyFont="1" applyBorder="1"/>
    <xf numFmtId="166" fontId="17" fillId="0" borderId="8" xfId="0" applyNumberFormat="1" applyFont="1" applyBorder="1"/>
    <xf numFmtId="0" fontId="17" fillId="0" borderId="9" xfId="0" applyFont="1" applyBorder="1"/>
    <xf numFmtId="166" fontId="17" fillId="0" borderId="10" xfId="0" applyNumberFormat="1" applyFont="1" applyBorder="1"/>
    <xf numFmtId="14" fontId="17" fillId="0" borderId="9" xfId="0" applyNumberFormat="1" applyFont="1" applyBorder="1"/>
    <xf numFmtId="3" fontId="17" fillId="0" borderId="6" xfId="0" applyNumberFormat="1" applyFont="1" applyBorder="1"/>
    <xf numFmtId="3" fontId="17" fillId="0" borderId="8" xfId="0" applyNumberFormat="1" applyFont="1" applyBorder="1"/>
    <xf numFmtId="3" fontId="17" fillId="0" borderId="10" xfId="0" applyNumberFormat="1" applyFont="1" applyBorder="1"/>
    <xf numFmtId="16" fontId="0" fillId="0" borderId="1" xfId="0" applyNumberFormat="1" applyFill="1" applyBorder="1"/>
    <xf numFmtId="0" fontId="16" fillId="0" borderId="1" xfId="0" applyFont="1" applyFill="1" applyBorder="1"/>
    <xf numFmtId="165" fontId="3" fillId="3" borderId="2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ill="1"/>
    <xf numFmtId="168" fontId="0" fillId="8" borderId="0" xfId="0" applyNumberFormat="1" applyFill="1"/>
    <xf numFmtId="0" fontId="0" fillId="0" borderId="0" xfId="0" applyFill="1" applyBorder="1" applyProtection="1"/>
    <xf numFmtId="0" fontId="0" fillId="0" borderId="0" xfId="0" applyFill="1" applyBorder="1" applyAlignment="1" applyProtection="1">
      <alignment horizontal="right"/>
    </xf>
    <xf numFmtId="165" fontId="0" fillId="0" borderId="0" xfId="0" applyNumberFormat="1" applyFill="1" applyBorder="1" applyProtection="1"/>
    <xf numFmtId="14" fontId="0" fillId="0" borderId="0" xfId="0" applyNumberFormat="1" applyFill="1" applyBorder="1" applyProtection="1"/>
    <xf numFmtId="0" fontId="0" fillId="0" borderId="1" xfId="0" applyFill="1" applyBorder="1" applyAlignment="1">
      <alignment horizontal="center" vertical="center"/>
    </xf>
    <xf numFmtId="16" fontId="1" fillId="0" borderId="0" xfId="0" applyNumberFormat="1" applyFont="1" applyFill="1"/>
    <xf numFmtId="0" fontId="0" fillId="8" borderId="1" xfId="0" applyFill="1" applyBorder="1"/>
    <xf numFmtId="0" fontId="3" fillId="8" borderId="0" xfId="0" applyFont="1" applyFill="1" applyAlignment="1">
      <alignment horizontal="center"/>
    </xf>
    <xf numFmtId="0" fontId="0" fillId="8" borderId="0" xfId="0" applyFill="1"/>
    <xf numFmtId="167" fontId="0" fillId="0" borderId="1" xfId="2" applyNumberFormat="1" applyFont="1" applyFill="1" applyBorder="1"/>
    <xf numFmtId="14" fontId="0" fillId="0" borderId="1" xfId="0" applyNumberFormat="1" applyFill="1" applyBorder="1"/>
    <xf numFmtId="165" fontId="1" fillId="0" borderId="2" xfId="0" applyNumberFormat="1" applyFont="1" applyFill="1" applyBorder="1" applyProtection="1"/>
    <xf numFmtId="3" fontId="0" fillId="0" borderId="0" xfId="0" applyNumberFormat="1" applyFill="1" applyBorder="1"/>
    <xf numFmtId="0" fontId="1" fillId="0" borderId="2" xfId="0" applyFont="1" applyFill="1" applyBorder="1"/>
    <xf numFmtId="0" fontId="1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0" fillId="3" borderId="0" xfId="0" quotePrefix="1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0" fontId="8" fillId="4" borderId="0" xfId="0" applyFont="1" applyFill="1" applyAlignment="1" applyProtection="1">
      <alignment horizontal="center"/>
    </xf>
    <xf numFmtId="0" fontId="8" fillId="5" borderId="0" xfId="0" applyFont="1" applyFill="1" applyAlignment="1" applyProtection="1">
      <alignment horizontal="center"/>
    </xf>
    <xf numFmtId="0" fontId="14" fillId="11" borderId="1" xfId="0" applyFont="1" applyFill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30">
    <dxf>
      <numFmt numFmtId="166" formatCode="_-* #,##0_-;\-* #,##0_-;_-* &quot;-&quot;??_-;_-@_-"/>
    </dxf>
    <dxf>
      <numFmt numFmtId="166" formatCode="_-* #,##0_-;\-* #,##0_-;_-* &quot;-&quot;??_-;_-@_-"/>
    </dxf>
    <dxf>
      <fill>
        <patternFill patternType="solid">
          <bgColor indexed="13"/>
        </patternFill>
      </fill>
    </dxf>
    <dxf>
      <font>
        <sz val="12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12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12"/>
      </font>
    </dxf>
    <dxf>
      <font>
        <sz val="12"/>
      </font>
    </dxf>
    <dxf>
      <numFmt numFmtId="3" formatCode="#,##0"/>
    </dxf>
    <dxf>
      <numFmt numFmtId="3" formatCode="#,##0"/>
    </dxf>
    <dxf>
      <font>
        <sz val="12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ill>
        <patternFill patternType="solid">
          <bgColor indexed="13"/>
        </patternFill>
      </fill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12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409.852270254632" createdVersion="3" refreshedVersion="7" recordCount="2920" xr:uid="{00000000-000A-0000-FFFF-FFFF00000000}">
  <cacheSource type="worksheet">
    <worksheetSource ref="A3:D9922" sheet="Ventas"/>
  </cacheSource>
  <cacheFields count="4">
    <cacheField name="Fecha" numFmtId="0">
      <sharedItems containsNonDate="0" containsDate="1" containsString="0" containsBlank="1" minDate="2011-01-02T00:00:00" maxDate="2021-09-01T00:00:00" count="2357"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m/>
        <d v="2015-09-19T00:00:00" u="1"/>
        <d v="2016-09-19T00:00:00" u="1"/>
        <d v="2013-05-30T00:00:00" u="1"/>
        <d v="2018-09-19T00:00:00" u="1"/>
        <d v="2019-09-19T00:00:00" u="1"/>
        <d v="2020-09-19T00:00:00" u="1"/>
        <d v="2016-05-30T00:00:00" u="1"/>
        <d v="2018-05-30T00:00:00" u="1"/>
        <d v="2019-05-30T00:00:00" u="1"/>
        <d v="2020-05-30T00:00:00" u="1"/>
        <d v="2013-10-19T00:00:00" u="1"/>
        <d v="2015-10-19T00:00:00" u="1"/>
        <d v="2016-10-19T00:00:00" u="1"/>
        <d v="2019-10-19T00:00:00" u="1"/>
        <d v="2015-06-30T00:00:00" u="1"/>
        <d v="2020-10-19T00:00:00" u="1"/>
        <d v="2016-06-30T00:00:00" u="1"/>
        <d v="2018-06-30T00:00:00" u="1"/>
        <d v="2019-06-30T00:00:00" u="1"/>
        <d v="2020-06-30T00:00:00" u="1"/>
        <d v="2013-11-19T00:00:00" u="1"/>
        <d v="2015-11-19T00:00:00" u="1"/>
        <d v="2016-11-19T00:00:00" u="1"/>
        <d v="2013-07-30T00:00:00" u="1"/>
        <d v="2019-11-19T00:00:00" u="1"/>
        <d v="2015-07-30T00:00:00" u="1"/>
        <d v="2020-11-19T00:00:00" u="1"/>
        <d v="2017-07-30T00:00:00" u="1"/>
        <d v="2018-07-30T00:00:00" u="1"/>
        <d v="2019-07-30T00:00:00" u="1"/>
        <d v="2020-07-30T00:00:00" u="1"/>
        <d v="2011-12-19T00:00:00" u="1"/>
        <d v="2012-12-19T00:00:00" u="1"/>
        <d v="2013-12-19T00:00:00" u="1"/>
        <d v="2015-12-19T00:00:00" u="1"/>
        <d v="2011-08-30T00:00:00" u="1"/>
        <d v="2016-12-19T00:00:00" u="1"/>
        <d v="2017-12-19T00:00:00" u="1"/>
        <d v="2013-08-30T00:00:00" u="1"/>
        <d v="2019-12-19T00:00:00" u="1"/>
        <d v="2015-08-30T00:00:00" u="1"/>
        <d v="2020-12-19T00:00:00" u="1"/>
        <d v="2016-08-30T00:00:00" u="1"/>
        <d v="2018-08-30T00:00:00" u="1"/>
        <d v="2019-08-30T00:00:00" u="1"/>
        <d v="2020-08-30T00:00:00" u="1"/>
        <d v="2011-01-09T00:00:00" u="1"/>
        <d v="2013-01-09T00:00:00" u="1"/>
        <d v="2014-01-09T00:00:00" u="1"/>
        <d v="2016-01-09T00:00:00" u="1"/>
        <d v="2017-01-09T00:00:00" u="1"/>
        <d v="2018-01-09T00:00:00" u="1"/>
        <d v="2020-01-09T00:00:00" u="1"/>
        <d v="2021-01-09T00:00:00" u="1"/>
        <d v="2013-09-30T00:00:00" u="1"/>
        <d v="2015-09-30T00:00:00" u="1"/>
        <d v="2016-09-30T00:00:00" u="1"/>
        <d v="2018-09-30T00:00:00" u="1"/>
        <d v="2019-09-30T00:00:00" u="1"/>
        <d v="2020-09-30T00:00:00" u="1"/>
        <d v="2013-02-09T00:00:00" u="1"/>
        <d v="2014-02-09T00:00:00" u="1"/>
        <d v="2017-02-09T00:00:00" u="1"/>
        <d v="2018-02-09T00:00:00" u="1"/>
        <d v="2020-02-09T00:00:00" u="1"/>
        <d v="2021-02-09T00:00:00" u="1"/>
        <d v="2013-10-30T00:00:00" u="1"/>
        <d v="2015-10-30T00:00:00" u="1"/>
        <d v="2016-10-30T00:00:00" u="1"/>
        <d v="2019-10-30T00:00:00" u="1"/>
        <d v="2020-10-30T00:00:00" u="1"/>
        <d v="2014-03-09T00:00:00" u="1"/>
        <d v="2015-03-09T00:00:00" u="1"/>
        <d v="2016-03-09T00:00:00" u="1"/>
        <d v="2018-03-09T00:00:00" u="1"/>
        <d v="2019-03-09T00:00:00" u="1"/>
        <d v="2020-03-09T00:00:00" u="1"/>
        <d v="2011-11-30T00:00:00" u="1"/>
        <d v="2021-03-09T00:00:00" u="1"/>
        <d v="2013-11-30T00:00:00" u="1"/>
        <d v="2015-11-30T00:00:00" u="1"/>
        <d v="2016-11-30T00:00:00" u="1"/>
        <d v="2019-11-30T00:00:00" u="1"/>
        <d v="2020-11-30T00:00:00" u="1"/>
        <d v="2012-04-09T00:00:00" u="1"/>
        <d v="2015-04-09T00:00:00" u="1"/>
        <d v="2016-04-09T00:00:00" u="1"/>
        <d v="2018-04-09T00:00:00" u="1"/>
        <d v="2019-04-09T00:00:00" u="1"/>
        <d v="2020-04-09T00:00:00" u="1"/>
        <d v="2011-12-30T00:00:00" u="1"/>
        <d v="2021-04-09T00:00:00" u="1"/>
        <d v="2012-12-30T00:00:00" u="1"/>
        <d v="2013-12-30T00:00:00" u="1"/>
        <d v="2015-12-30T00:00:00" u="1"/>
        <d v="2016-12-30T00:00:00" u="1"/>
        <d v="2017-12-30T00:00:00" u="1"/>
        <d v="2019-12-30T00:00:00" u="1"/>
        <d v="2020-12-30T00:00:00" u="1"/>
        <d v="2013-05-09T00:00:00" u="1"/>
        <d v="2011-01-20T00:00:00" u="1"/>
        <d v="2016-05-09T00:00:00" u="1"/>
        <d v="2013-01-20T00:00:00" u="1"/>
        <d v="2018-05-09T00:00:00" u="1"/>
        <d v="2014-01-20T00:00:00" u="1"/>
        <d v="2019-05-09T00:00:00" u="1"/>
        <d v="2020-05-09T00:00:00" u="1"/>
        <d v="2016-01-20T00:00:00" u="1"/>
        <d v="2017-01-20T00:00:00" u="1"/>
        <d v="2018-01-20T00:00:00" u="1"/>
        <d v="2020-01-20T00:00:00" u="1"/>
        <d v="2021-01-20T00:00:00" u="1"/>
        <d v="2013-06-09T00:00:00" u="1"/>
        <d v="2015-06-09T00:00:00" u="1"/>
        <d v="2016-06-09T00:00:00" u="1"/>
        <d v="2013-02-20T00:00:00" u="1"/>
        <d v="2018-06-09T00:00:00" u="1"/>
        <d v="2014-02-20T00:00:00" u="1"/>
        <d v="2019-06-09T00:00:00" u="1"/>
        <d v="2020-06-09T00:00:00" u="1"/>
        <d v="2017-02-20T00:00:00" u="1"/>
        <d v="2018-02-20T00:00:00" u="1"/>
        <d v="2020-02-20T00:00:00" u="1"/>
        <d v="2021-02-20T00:00:00" u="1"/>
        <d v="2013-07-09T00:00:00" u="1"/>
        <d v="2015-07-09T00:00:00" u="1"/>
        <d v="2017-07-09T00:00:00" u="1"/>
        <d v="2018-07-09T00:00:00" u="1"/>
        <d v="2014-03-20T00:00:00" u="1"/>
        <d v="2019-07-09T00:00:00" u="1"/>
        <d v="2015-03-20T00:00:00" u="1"/>
        <d v="2020-07-09T00:00:00" u="1"/>
        <d v="2016-03-20T00:00:00" u="1"/>
        <d v="2018-03-20T00:00:00" u="1"/>
        <d v="2019-03-20T00:00:00" u="1"/>
        <d v="2020-03-20T00:00:00" u="1"/>
        <d v="2021-03-20T00:00:00" u="1"/>
        <d v="2011-08-09T00:00:00" u="1"/>
        <d v="2013-08-09T00:00:00" u="1"/>
        <d v="2015-08-09T00:00:00" u="1"/>
        <d v="2016-08-09T00:00:00" u="1"/>
        <d v="2012-04-20T00:00:00" u="1"/>
        <d v="2018-08-09T00:00:00" u="1"/>
        <d v="2019-08-09T00:00:00" u="1"/>
        <d v="2015-04-20T00:00:00" u="1"/>
        <d v="2020-08-09T00:00:00" u="1"/>
        <d v="2016-04-20T00:00:00" u="1"/>
        <d v="2018-04-20T00:00:00" u="1"/>
        <d v="2019-04-20T00:00:00" u="1"/>
        <d v="2020-04-20T00:00:00" u="1"/>
        <d v="2021-04-20T00:00:00" u="1"/>
        <d v="2013-09-09T00:00:00" u="1"/>
        <d v="2015-09-09T00:00:00" u="1"/>
        <d v="2016-09-09T00:00:00" u="1"/>
        <d v="2013-05-20T00:00:00" u="1"/>
        <d v="2018-09-09T00:00:00" u="1"/>
        <d v="2019-09-09T00:00:00" u="1"/>
        <d v="2020-09-09T00:00:00" u="1"/>
        <d v="2011-01-31T00:00:00" u="1"/>
        <d v="2016-05-20T00:00:00" u="1"/>
        <d v="2013-01-31T00:00:00" u="1"/>
        <d v="2018-05-20T00:00:00" u="1"/>
        <d v="2014-01-31T00:00:00" u="1"/>
        <d v="2019-05-20T00:00:00" u="1"/>
        <d v="2020-05-20T00:00:00" u="1"/>
        <d v="2016-01-31T00:00:00" u="1"/>
        <d v="2017-01-31T00:00:00" u="1"/>
        <d v="2018-01-31T00:00:00" u="1"/>
        <d v="2020-01-31T00:00:00" u="1"/>
        <d v="2021-01-31T00:00:00" u="1"/>
        <d v="2013-10-09T00:00:00" u="1"/>
        <d v="2015-10-09T00:00:00" u="1"/>
        <d v="2016-10-09T00:00:00" u="1"/>
        <d v="2013-06-20T00:00:00" u="1"/>
        <d v="2019-10-09T00:00:00" u="1"/>
        <d v="2015-06-20T00:00:00" u="1"/>
        <d v="2020-10-09T00:00:00" u="1"/>
        <d v="2016-06-20T00:00:00" u="1"/>
        <d v="2018-06-20T00:00:00" u="1"/>
        <d v="2019-06-20T00:00:00" u="1"/>
        <d v="2020-06-20T00:00:00" u="1"/>
        <d v="2011-11-09T00:00:00" u="1"/>
        <d v="2013-11-09T00:00:00" u="1"/>
        <d v="2015-11-09T00:00:00" u="1"/>
        <d v="2016-11-09T00:00:00" u="1"/>
        <d v="2013-07-20T00:00:00" u="1"/>
        <d v="2019-11-09T00:00:00" u="1"/>
        <d v="2015-07-20T00:00:00" u="1"/>
        <d v="2020-11-09T00:00:00" u="1"/>
        <d v="2017-07-20T00:00:00" u="1"/>
        <d v="2018-07-20T00:00:00" u="1"/>
        <d v="2014-03-31T00:00:00" u="1"/>
        <d v="2019-07-20T00:00:00" u="1"/>
        <d v="2015-03-31T00:00:00" u="1"/>
        <d v="2020-07-20T00:00:00" u="1"/>
        <d v="2016-03-31T00:00:00" u="1"/>
        <d v="2018-03-31T00:00:00" u="1"/>
        <d v="2019-03-31T00:00:00" u="1"/>
        <d v="2020-03-31T00:00:00" u="1"/>
        <d v="2021-03-31T00:00:00" u="1"/>
        <d v="2011-12-09T00:00:00" u="1"/>
        <d v="2012-12-09T00:00:00" u="1"/>
        <d v="2013-12-09T00:00:00" u="1"/>
        <d v="2015-12-09T00:00:00" u="1"/>
        <d v="2011-08-20T00:00:00" u="1"/>
        <d v="2016-12-09T00:00:00" u="1"/>
        <d v="2017-12-09T00:00:00" u="1"/>
        <d v="2013-08-20T00:00:00" u="1"/>
        <d v="2019-12-09T00:00:00" u="1"/>
        <d v="2015-08-20T00:00:00" u="1"/>
        <d v="2020-12-09T00:00:00" u="1"/>
        <d v="2016-08-20T00:00:00" u="1"/>
        <d v="2018-08-20T00:00:00" u="1"/>
        <d v="2019-08-20T00:00:00" u="1"/>
        <d v="2020-08-20T00:00:00" u="1"/>
        <d v="2015-09-20T00:00:00" u="1"/>
        <d v="2016-09-20T00:00:00" u="1"/>
        <d v="2013-05-31T00:00:00" u="1"/>
        <d v="2018-09-20T00:00:00" u="1"/>
        <d v="2019-09-20T00:00:00" u="1"/>
        <d v="2020-09-20T00:00:00" u="1"/>
        <d v="2016-05-31T00:00:00" u="1"/>
        <d v="2019-05-31T00:00:00" u="1"/>
        <d v="2020-05-31T00:00:00" u="1"/>
        <d v="2013-10-20T00:00:00" u="1"/>
        <d v="2015-10-20T00:00:00" u="1"/>
        <d v="2016-10-20T00:00:00" u="1"/>
        <d v="2019-10-20T00:00:00" u="1"/>
        <d v="2020-10-20T00:00:00" u="1"/>
        <d v="2013-11-20T00:00:00" u="1"/>
        <d v="2015-11-20T00:00:00" u="1"/>
        <d v="2016-11-20T00:00:00" u="1"/>
        <d v="2013-07-31T00:00:00" u="1"/>
        <d v="2019-11-20T00:00:00" u="1"/>
        <d v="2015-07-31T00:00:00" u="1"/>
        <d v="2020-11-20T00:00:00" u="1"/>
        <d v="2017-07-31T00:00:00" u="1"/>
        <d v="2018-07-31T00:00:00" u="1"/>
        <d v="2019-07-31T00:00:00" u="1"/>
        <d v="2020-07-31T00:00:00" u="1"/>
        <d v="2011-12-20T00:00:00" u="1"/>
        <d v="2012-12-20T00:00:00" u="1"/>
        <d v="2013-12-20T00:00:00" u="1"/>
        <d v="2015-12-20T00:00:00" u="1"/>
        <d v="2011-08-31T00:00:00" u="1"/>
        <d v="2016-12-20T00:00:00" u="1"/>
        <d v="2017-12-20T00:00:00" u="1"/>
        <d v="2013-08-31T00:00:00" u="1"/>
        <d v="2019-12-20T00:00:00" u="1"/>
        <d v="2015-08-31T00:00:00" u="1"/>
        <d v="2020-12-20T00:00:00" u="1"/>
        <d v="2016-08-31T00:00:00" u="1"/>
        <d v="2018-08-31T00:00:00" u="1"/>
        <d v="2019-08-31T00:00:00" u="1"/>
        <d v="2020-08-31T00:00:00" u="1"/>
        <d v="2011-01-10T00:00:00" u="1"/>
        <d v="2013-01-10T00:00:00" u="1"/>
        <d v="2014-01-10T00:00:00" u="1"/>
        <d v="2016-01-10T00:00:00" u="1"/>
        <d v="2017-01-10T00:00:00" u="1"/>
        <d v="2018-01-10T00:00:00" u="1"/>
        <d v="2020-01-10T00:00:00" u="1"/>
        <d v="2021-01-10T00:00:00" u="1"/>
        <d v="2013-02-10T00:00:00" u="1"/>
        <d v="2014-02-10T00:00:00" u="1"/>
        <d v="2017-02-10T00:00:00" u="1"/>
        <d v="2018-02-10T00:00:00" u="1"/>
        <d v="2020-02-10T00:00:00" u="1"/>
        <d v="2021-02-10T00:00:00" u="1"/>
        <d v="2013-10-31T00:00:00" u="1"/>
        <d v="2015-10-31T00:00:00" u="1"/>
        <d v="2016-10-31T00:00:00" u="1"/>
        <d v="2019-10-31T00:00:00" u="1"/>
        <d v="2020-10-31T00:00:00" u="1"/>
        <d v="2014-03-10T00:00:00" u="1"/>
        <d v="2015-03-10T00:00:00" u="1"/>
        <d v="2016-03-10T00:00:00" u="1"/>
        <d v="2018-03-10T00:00:00" u="1"/>
        <d v="2019-03-10T00:00:00" u="1"/>
        <d v="2020-03-10T00:00:00" u="1"/>
        <d v="2021-03-10T00:00:00" u="1"/>
        <d v="2012-04-10T00:00:00" u="1"/>
        <d v="2015-04-10T00:00:00" u="1"/>
        <d v="2016-04-10T00:00:00" u="1"/>
        <d v="2018-04-10T00:00:00" u="1"/>
        <d v="2019-04-10T00:00:00" u="1"/>
        <d v="2020-04-10T00:00:00" u="1"/>
        <d v="2021-04-10T00:00:00" u="1"/>
        <d v="2012-12-31T00:00:00" u="1"/>
        <d v="2013-12-31T00:00:00" u="1"/>
        <d v="2015-12-31T00:00:00" u="1"/>
        <d v="2017-12-31T00:00:00" u="1"/>
        <d v="2019-12-31T00:00:00" u="1"/>
        <d v="2020-12-31T00:00:00" u="1"/>
        <d v="2013-05-10T00:00:00" u="1"/>
        <d v="2011-01-21T00:00:00" u="1"/>
        <d v="2016-05-10T00:00:00" u="1"/>
        <d v="2013-01-21T00:00:00" u="1"/>
        <d v="2018-05-10T00:00:00" u="1"/>
        <d v="2014-01-21T00:00:00" u="1"/>
        <d v="2019-05-10T00:00:00" u="1"/>
        <d v="2020-05-10T00:00:00" u="1"/>
        <d v="2016-01-21T00:00:00" u="1"/>
        <d v="2017-01-21T00:00:00" u="1"/>
        <d v="2018-01-21T00:00:00" u="1"/>
        <d v="2020-01-21T00:00:00" u="1"/>
        <d v="2021-01-21T00:00:00" u="1"/>
        <d v="2013-06-10T00:00:00" u="1"/>
        <d v="2015-06-10T00:00:00" u="1"/>
        <d v="2016-06-10T00:00:00" u="1"/>
        <d v="2013-02-21T00:00:00" u="1"/>
        <d v="2018-06-10T00:00:00" u="1"/>
        <d v="2014-02-21T00:00:00" u="1"/>
        <d v="2019-06-10T00:00:00" u="1"/>
        <d v="2020-06-10T00:00:00" u="1"/>
        <d v="2017-02-21T00:00:00" u="1"/>
        <d v="2018-02-21T00:00:00" u="1"/>
        <d v="2020-02-21T00:00:00" u="1"/>
        <d v="2021-02-21T00:00:00" u="1"/>
        <d v="2013-07-10T00:00:00" u="1"/>
        <d v="2015-07-10T00:00:00" u="1"/>
        <d v="2017-07-10T00:00:00" u="1"/>
        <d v="2018-07-10T00:00:00" u="1"/>
        <d v="2014-03-21T00:00:00" u="1"/>
        <d v="2019-07-10T00:00:00" u="1"/>
        <d v="2015-03-21T00:00:00" u="1"/>
        <d v="2020-07-10T00:00:00" u="1"/>
        <d v="2016-03-21T00:00:00" u="1"/>
        <d v="2018-03-21T00:00:00" u="1"/>
        <d v="2019-03-21T00:00:00" u="1"/>
        <d v="2020-03-21T00:00:00" u="1"/>
        <d v="2021-03-21T00:00:00" u="1"/>
        <d v="2011-08-10T00:00:00" u="1"/>
        <d v="2013-08-10T00:00:00" u="1"/>
        <d v="2015-08-10T00:00:00" u="1"/>
        <d v="2016-08-10T00:00:00" u="1"/>
        <d v="2012-04-21T00:00:00" u="1"/>
        <d v="2018-08-10T00:00:00" u="1"/>
        <d v="2019-08-10T00:00:00" u="1"/>
        <d v="2015-04-21T00:00:00" u="1"/>
        <d v="2020-08-10T00:00:00" u="1"/>
        <d v="2016-04-21T00:00:00" u="1"/>
        <d v="2018-04-21T00:00:00" u="1"/>
        <d v="2019-04-21T00:00:00" u="1"/>
        <d v="2020-04-21T00:00:00" u="1"/>
        <d v="2021-04-21T00:00:00" u="1"/>
        <d v="2013-09-10T00:00:00" u="1"/>
        <d v="2015-09-10T00:00:00" u="1"/>
        <d v="2016-09-10T00:00:00" u="1"/>
        <d v="2013-05-21T00:00:00" u="1"/>
        <d v="2018-09-10T00:00:00" u="1"/>
        <d v="2019-09-10T00:00:00" u="1"/>
        <d v="2020-09-10T00:00:00" u="1"/>
        <d v="2016-05-21T00:00:00" u="1"/>
        <d v="2018-05-21T00:00:00" u="1"/>
        <d v="2019-05-21T00:00:00" u="1"/>
        <d v="2020-05-21T00:00:00" u="1"/>
        <d v="2013-10-10T00:00:00" u="1"/>
        <d v="2015-10-10T00:00:00" u="1"/>
        <d v="2016-10-10T00:00:00" u="1"/>
        <d v="2013-06-21T00:00:00" u="1"/>
        <d v="2019-10-10T00:00:00" u="1"/>
        <d v="2015-06-21T00:00:00" u="1"/>
        <d v="2020-10-10T00:00:00" u="1"/>
        <d v="2016-06-21T00:00:00" u="1"/>
        <d v="2018-06-21T00:00:00" u="1"/>
        <d v="2019-06-21T00:00:00" u="1"/>
        <d v="2020-06-21T00:00:00" u="1"/>
        <d v="2011-11-10T00:00:00" u="1"/>
        <d v="2013-11-10T00:00:00" u="1"/>
        <d v="2015-11-10T00:00:00" u="1"/>
        <d v="2016-11-10T00:00:00" u="1"/>
        <d v="2013-07-21T00:00:00" u="1"/>
        <d v="2019-11-10T00:00:00" u="1"/>
        <d v="2015-07-21T00:00:00" u="1"/>
        <d v="2020-11-10T00:00:00" u="1"/>
        <d v="2017-07-21T00:00:00" u="1"/>
        <d v="2018-07-21T00:00:00" u="1"/>
        <d v="2019-07-21T00:00:00" u="1"/>
        <d v="2020-07-21T00:00:00" u="1"/>
        <d v="2012-12-10T00:00:00" u="1"/>
        <d v="2013-12-10T00:00:00" u="1"/>
        <d v="2015-12-10T00:00:00" u="1"/>
        <d v="2011-08-21T00:00:00" u="1"/>
        <d v="2016-12-10T00:00:00" u="1"/>
        <d v="2017-12-10T00:00:00" u="1"/>
        <d v="2013-08-21T00:00:00" u="1"/>
        <d v="2019-12-10T00:00:00" u="1"/>
        <d v="2015-08-21T00:00:00" u="1"/>
        <d v="2020-12-10T00:00:00" u="1"/>
        <d v="2016-08-21T00:00:00" u="1"/>
        <d v="2018-08-21T00:00:00" u="1"/>
        <d v="2019-08-21T00:00:00" u="1"/>
        <d v="2020-08-21T00:00:00" u="1"/>
        <d v="2013-09-21T00:00:00" u="1"/>
        <d v="2015-09-21T00:00:00" u="1"/>
        <d v="2016-09-21T00:00:00" u="1"/>
        <d v="2018-09-21T00:00:00" u="1"/>
        <d v="2019-09-21T00:00:00" u="1"/>
        <d v="2020-09-21T00:00:00" u="1"/>
        <d v="2013-10-21T00:00:00" u="1"/>
        <d v="2015-10-21T00:00:00" u="1"/>
        <d v="2016-10-21T00:00:00" u="1"/>
        <d v="2019-10-21T00:00:00" u="1"/>
        <d v="2020-10-21T00:00:00" u="1"/>
        <d v="2011-11-21T00:00:00" u="1"/>
        <d v="2013-11-21T00:00:00" u="1"/>
        <d v="2015-11-21T00:00:00" u="1"/>
        <d v="2016-11-21T00:00:00" u="1"/>
        <d v="2019-11-21T00:00:00" u="1"/>
        <d v="2020-11-21T00:00:00" u="1"/>
        <d v="2011-12-21T00:00:00" u="1"/>
        <d v="2012-12-21T00:00:00" u="1"/>
        <d v="2013-12-21T00:00:00" u="1"/>
        <d v="2015-12-21T00:00:00" u="1"/>
        <d v="2016-12-21T00:00:00" u="1"/>
        <d v="2017-12-21T00:00:00" u="1"/>
        <d v="2019-12-21T00:00:00" u="1"/>
        <d v="2020-12-21T00:00:00" u="1"/>
        <d v="2011-01-11T00:00:00" u="1"/>
        <d v="2013-01-11T00:00:00" u="1"/>
        <d v="2014-01-11T00:00:00" u="1"/>
        <d v="2016-01-11T00:00:00" u="1"/>
        <d v="2017-01-11T00:00:00" u="1"/>
        <d v="2018-01-11T00:00:00" u="1"/>
        <d v="2020-01-11T00:00:00" u="1"/>
        <d v="2021-01-11T00:00:00" u="1"/>
        <d v="2013-02-11T00:00:00" u="1"/>
        <d v="2014-02-11T00:00:00" u="1"/>
        <d v="2017-02-11T00:00:00" u="1"/>
        <d v="2018-02-11T00:00:00" u="1"/>
        <d v="2020-02-11T00:00:00" u="1"/>
        <d v="2021-02-11T00:00:00" u="1"/>
        <d v="2014-03-11T00:00:00" u="1"/>
        <d v="2015-03-11T00:00:00" u="1"/>
        <d v="2016-03-11T00:00:00" u="1"/>
        <d v="2018-03-11T00:00:00" u="1"/>
        <d v="2019-03-11T00:00:00" u="1"/>
        <d v="2020-03-11T00:00:00" u="1"/>
        <d v="2021-03-11T00:00:00" u="1"/>
        <d v="2012-04-11T00:00:00" u="1"/>
        <d v="2015-04-11T00:00:00" u="1"/>
        <d v="2016-04-11T00:00:00" u="1"/>
        <d v="2018-04-11T00:00:00" u="1"/>
        <d v="2019-04-11T00:00:00" u="1"/>
        <d v="2020-04-11T00:00:00" u="1"/>
        <d v="2021-04-11T00:00:00" u="1"/>
        <d v="2013-05-11T00:00:00" u="1"/>
        <d v="2011-01-22T00:00:00" u="1"/>
        <d v="2016-05-11T00:00:00" u="1"/>
        <d v="2013-01-22T00:00:00" u="1"/>
        <d v="2018-05-11T00:00:00" u="1"/>
        <d v="2014-01-22T00:00:00" u="1"/>
        <d v="2019-05-11T00:00:00" u="1"/>
        <d v="2020-05-11T00:00:00" u="1"/>
        <d v="2016-01-22T00:00:00" u="1"/>
        <d v="2017-01-22T00:00:00" u="1"/>
        <d v="2018-01-22T00:00:00" u="1"/>
        <d v="2020-01-22T00:00:00" u="1"/>
        <d v="2021-01-22T00:00:00" u="1"/>
        <d v="2013-06-11T00:00:00" u="1"/>
        <d v="2015-06-11T00:00:00" u="1"/>
        <d v="2016-06-11T00:00:00" u="1"/>
        <d v="2013-02-22T00:00:00" u="1"/>
        <d v="2018-06-11T00:00:00" u="1"/>
        <d v="2014-02-22T00:00:00" u="1"/>
        <d v="2019-06-11T00:00:00" u="1"/>
        <d v="2020-06-11T00:00:00" u="1"/>
        <d v="2017-02-22T00:00:00" u="1"/>
        <d v="2018-02-22T00:00:00" u="1"/>
        <d v="2020-02-22T00:00:00" u="1"/>
        <d v="2021-02-22T00:00:00" u="1"/>
        <d v="2013-07-11T00:00:00" u="1"/>
        <d v="2015-07-11T00:00:00" u="1"/>
        <d v="2017-07-11T00:00:00" u="1"/>
        <d v="2018-07-11T00:00:00" u="1"/>
        <d v="2014-03-22T00:00:00" u="1"/>
        <d v="2019-07-11T00:00:00" u="1"/>
        <d v="2015-03-22T00:00:00" u="1"/>
        <d v="2020-07-11T00:00:00" u="1"/>
        <d v="2016-03-22T00:00:00" u="1"/>
        <d v="2018-03-22T00:00:00" u="1"/>
        <d v="2019-03-22T00:00:00" u="1"/>
        <d v="2020-03-22T00:00:00" u="1"/>
        <d v="2021-03-22T00:00:00" u="1"/>
        <d v="2011-08-11T00:00:00" u="1"/>
        <d v="2013-08-11T00:00:00" u="1"/>
        <d v="2015-08-11T00:00:00" u="1"/>
        <d v="2016-08-11T00:00:00" u="1"/>
        <d v="2012-04-22T00:00:00" u="1"/>
        <d v="2018-08-11T00:00:00" u="1"/>
        <d v="2019-08-11T00:00:00" u="1"/>
        <d v="2015-04-22T00:00:00" u="1"/>
        <d v="2020-08-11T00:00:00" u="1"/>
        <d v="2016-04-22T00:00:00" u="1"/>
        <d v="2018-04-22T00:00:00" u="1"/>
        <d v="2019-04-22T00:00:00" u="1"/>
        <d v="2020-04-22T00:00:00" u="1"/>
        <d v="2021-04-22T00:00:00" u="1"/>
        <d v="2013-09-11T00:00:00" u="1"/>
        <d v="2015-09-11T00:00:00" u="1"/>
        <d v="2016-09-11T00:00:00" u="1"/>
        <d v="2013-05-22T00:00:00" u="1"/>
        <d v="2018-09-11T00:00:00" u="1"/>
        <d v="2019-09-11T00:00:00" u="1"/>
        <d v="2020-09-11T00:00:00" u="1"/>
        <d v="2016-05-22T00:00:00" u="1"/>
        <d v="2018-05-22T00:00:00" u="1"/>
        <d v="2019-05-22T00:00:00" u="1"/>
        <d v="2020-05-22T00:00:00" u="1"/>
        <d v="2013-10-11T00:00:00" u="1"/>
        <d v="2015-10-11T00:00:00" u="1"/>
        <d v="2016-10-11T00:00:00" u="1"/>
        <d v="2013-06-22T00:00:00" u="1"/>
        <d v="2019-10-11T00:00:00" u="1"/>
        <d v="2015-06-22T00:00:00" u="1"/>
        <d v="2020-10-11T00:00:00" u="1"/>
        <d v="2016-06-22T00:00:00" u="1"/>
        <d v="2018-06-22T00:00:00" u="1"/>
        <d v="2019-06-22T00:00:00" u="1"/>
        <d v="2020-06-22T00:00:00" u="1"/>
        <d v="2011-11-11T00:00:00" u="1"/>
        <d v="2013-11-11T00:00:00" u="1"/>
        <d v="2015-11-11T00:00:00" u="1"/>
        <d v="2016-11-11T00:00:00" u="1"/>
        <d v="2013-07-22T00:00:00" u="1"/>
        <d v="2019-11-11T00:00:00" u="1"/>
        <d v="2015-07-22T00:00:00" u="1"/>
        <d v="2020-11-11T00:00:00" u="1"/>
        <d v="2017-07-22T00:00:00" u="1"/>
        <d v="2018-07-22T00:00:00" u="1"/>
        <d v="2019-07-22T00:00:00" u="1"/>
        <d v="2020-07-22T00:00:00" u="1"/>
        <d v="2012-12-11T00:00:00" u="1"/>
        <d v="2013-12-11T00:00:00" u="1"/>
        <d v="2015-12-11T00:00:00" u="1"/>
        <d v="2011-08-22T00:00:00" u="1"/>
        <d v="2016-12-11T00:00:00" u="1"/>
        <d v="2017-12-11T00:00:00" u="1"/>
        <d v="2013-08-22T00:00:00" u="1"/>
        <d v="2019-12-11T00:00:00" u="1"/>
        <d v="2015-08-22T00:00:00" u="1"/>
        <d v="2020-12-11T00:00:00" u="1"/>
        <d v="2016-08-22T00:00:00" u="1"/>
        <d v="2018-08-22T00:00:00" u="1"/>
        <d v="2019-08-22T00:00:00" u="1"/>
        <d v="2020-08-22T00:00:00" u="1"/>
        <d v="2014-01-01T00:00:00" u="1"/>
        <d v="2016-01-01T00:00:00" u="1"/>
        <d v="2017-01-01T00:00:00" u="1"/>
        <d v="2018-01-01T00:00:00" u="1"/>
        <d v="2020-01-01T00:00:00" u="1"/>
        <d v="2021-01-01T00:00:00" u="1"/>
        <d v="2013-09-22T00:00:00" u="1"/>
        <d v="2015-09-22T00:00:00" u="1"/>
        <d v="2016-09-22T00:00:00" u="1"/>
        <d v="2018-09-22T00:00:00" u="1"/>
        <d v="2019-09-22T00:00:00" u="1"/>
        <d v="2020-09-22T00:00:00" u="1"/>
        <d v="2011-02-01T00:00:00" u="1"/>
        <d v="2013-02-01T00:00:00" u="1"/>
        <d v="2014-02-01T00:00:00" u="1"/>
        <d v="2017-02-01T00:00:00" u="1"/>
        <d v="2018-02-01T00:00:00" u="1"/>
        <d v="2020-02-01T00:00:00" u="1"/>
        <d v="2021-02-01T00:00:00" u="1"/>
        <d v="2013-10-22T00:00:00" u="1"/>
        <d v="2015-10-22T00:00:00" u="1"/>
        <d v="2016-10-22T00:00:00" u="1"/>
        <d v="2019-10-22T00:00:00" u="1"/>
        <d v="2020-10-22T00:00:00" u="1"/>
        <d v="2013-03-01T00:00:00" u="1"/>
        <d v="2014-03-01T00:00:00" u="1"/>
        <d v="2015-03-01T00:00:00" u="1"/>
        <d v="2016-03-01T00:00:00" u="1"/>
        <d v="2018-03-01T00:00:00" u="1"/>
        <d v="2019-03-01T00:00:00" u="1"/>
        <d v="2020-03-01T00:00:00" u="1"/>
        <d v="2011-11-22T00:00:00" u="1"/>
        <d v="2021-03-01T00:00:00" u="1"/>
        <d v="2013-11-22T00:00:00" u="1"/>
        <d v="2015-11-22T00:00:00" u="1"/>
        <d v="2016-11-22T00:00:00" u="1"/>
        <d v="2019-11-22T00:00:00" u="1"/>
        <d v="2020-11-22T00:00:00" u="1"/>
        <d v="2012-04-01T00:00:00" u="1"/>
        <d v="2015-04-01T00:00:00" u="1"/>
        <d v="2016-04-01T00:00:00" u="1"/>
        <d v="2018-04-01T00:00:00" u="1"/>
        <d v="2019-04-01T00:00:00" u="1"/>
        <d v="2020-04-01T00:00:00" u="1"/>
        <d v="2011-12-22T00:00:00" u="1"/>
        <d v="2021-04-01T00:00:00" u="1"/>
        <d v="2012-12-22T00:00:00" u="1"/>
        <d v="2013-12-22T00:00:00" u="1"/>
        <d v="2015-12-22T00:00:00" u="1"/>
        <d v="2016-12-22T00:00:00" u="1"/>
        <d v="2017-12-22T00:00:00" u="1"/>
        <d v="2019-12-22T00:00:00" u="1"/>
        <d v="2020-12-22T00:00:00" u="1"/>
        <d v="2012-05-01T00:00:00" u="1"/>
        <d v="2013-05-01T00:00:00" u="1"/>
        <d v="2011-01-12T00:00:00" u="1"/>
        <d v="2016-05-01T00:00:00" u="1"/>
        <d v="2013-01-12T00:00:00" u="1"/>
        <d v="2018-05-01T00:00:00" u="1"/>
        <d v="2014-01-12T00:00:00" u="1"/>
        <d v="2019-05-01T00:00:00" u="1"/>
        <d v="2020-05-01T00:00:00" u="1"/>
        <d v="2016-01-12T00:00:00" u="1"/>
        <d v="2021-05-01T00:00:00" u="1"/>
        <d v="2017-01-12T00:00:00" u="1"/>
        <d v="2018-01-12T00:00:00" u="1"/>
        <d v="2020-01-12T00:00:00" u="1"/>
        <d v="2021-01-12T00:00:00" u="1"/>
        <d v="2013-06-01T00:00:00" u="1"/>
        <d v="2015-06-01T00:00:00" u="1"/>
        <d v="2016-06-01T00:00:00" u="1"/>
        <d v="2013-02-12T00:00:00" u="1"/>
        <d v="2018-06-01T00:00:00" u="1"/>
        <d v="2014-02-12T00:00:00" u="1"/>
        <d v="2019-06-01T00:00:00" u="1"/>
        <d v="2020-06-01T00:00:00" u="1"/>
        <d v="2017-02-12T00:00:00" u="1"/>
        <d v="2018-02-12T00:00:00" u="1"/>
        <d v="2020-02-12T00:00:00" u="1"/>
        <d v="2021-02-12T00:00:00" u="1"/>
        <d v="2013-07-01T00:00:00" u="1"/>
        <d v="2015-07-01T00:00:00" u="1"/>
        <d v="2017-07-01T00:00:00" u="1"/>
        <d v="2018-07-01T00:00:00" u="1"/>
        <d v="2014-03-12T00:00:00" u="1"/>
        <d v="2019-07-01T00:00:00" u="1"/>
        <d v="2015-03-12T00:00:00" u="1"/>
        <d v="2020-07-01T00:00:00" u="1"/>
        <d v="2016-03-12T00:00:00" u="1"/>
        <d v="2018-03-12T00:00:00" u="1"/>
        <d v="2019-03-12T00:00:00" u="1"/>
        <d v="2020-03-12T00:00:00" u="1"/>
        <d v="2021-03-12T00:00:00" u="1"/>
        <d v="2011-08-01T00:00:00" u="1"/>
        <d v="2013-08-01T00:00:00" u="1"/>
        <d v="2015-08-01T00:00:00" u="1"/>
        <d v="2016-08-01T00:00:00" u="1"/>
        <d v="2012-04-12T00:00:00" u="1"/>
        <d v="2017-08-01T00:00:00" u="1"/>
        <d v="2018-08-01T00:00:00" u="1"/>
        <d v="2019-08-01T00:00:00" u="1"/>
        <d v="2015-04-12T00:00:00" u="1"/>
        <d v="2020-08-01T00:00:00" u="1"/>
        <d v="2016-04-12T00:00:00" u="1"/>
        <d v="2018-04-12T00:00:00" u="1"/>
        <d v="2019-04-12T00:00:00" u="1"/>
        <d v="2020-04-12T00:00:00" u="1"/>
        <d v="2021-04-12T00:00:00" u="1"/>
        <d v="2013-09-01T00:00:00" u="1"/>
        <d v="2015-09-01T00:00:00" u="1"/>
        <d v="2016-09-01T00:00:00" u="1"/>
        <d v="2013-05-12T00:00:00" u="1"/>
        <d v="2018-09-01T00:00:00" u="1"/>
        <d v="2019-09-01T00:00:00" u="1"/>
        <d v="2020-09-01T00:00:00" u="1"/>
        <d v="2011-01-23T00:00:00" u="1"/>
        <d v="2016-05-12T00:00:00" u="1"/>
        <d v="2013-01-23T00:00:00" u="1"/>
        <d v="2018-05-12T00:00:00" u="1"/>
        <d v="2014-01-23T00:00:00" u="1"/>
        <d v="2019-05-12T00:00:00" u="1"/>
        <d v="2020-05-12T00:00:00" u="1"/>
        <d v="2016-01-23T00:00:00" u="1"/>
        <d v="2017-01-23T00:00:00" u="1"/>
        <d v="2018-01-23T00:00:00" u="1"/>
        <d v="2020-01-23T00:00:00" u="1"/>
        <d v="2021-01-23T00:00:00" u="1"/>
        <d v="2013-10-01T00:00:00" u="1"/>
        <d v="2015-10-01T00:00:00" u="1"/>
        <d v="2016-10-01T00:00:00" u="1"/>
        <d v="2013-06-12T00:00:00" u="1"/>
        <d v="2019-10-01T00:00:00" u="1"/>
        <d v="2015-06-12T00:00:00" u="1"/>
        <d v="2020-10-01T00:00:00" u="1"/>
        <d v="2016-06-12T00:00:00" u="1"/>
        <d v="2013-02-23T00:00:00" u="1"/>
        <d v="2018-06-12T00:00:00" u="1"/>
        <d v="2014-02-23T00:00:00" u="1"/>
        <d v="2019-06-12T00:00:00" u="1"/>
        <d v="2020-06-12T00:00:00" u="1"/>
        <d v="2017-02-23T00:00:00" u="1"/>
        <d v="2018-02-23T00:00:00" u="1"/>
        <d v="2020-02-23T00:00:00" u="1"/>
        <d v="2021-02-23T00:00:00" u="1"/>
        <d v="2013-11-01T00:00:00" u="1"/>
        <d v="2015-11-01T00:00:00" u="1"/>
        <d v="2016-11-01T00:00:00" u="1"/>
        <d v="2013-07-12T00:00:00" u="1"/>
        <d v="2019-11-01T00:00:00" u="1"/>
        <d v="2015-07-12T00:00:00" u="1"/>
        <d v="2020-11-01T00:00:00" u="1"/>
        <d v="2017-07-12T00:00:00" u="1"/>
        <d v="2018-07-12T00:00:00" u="1"/>
        <d v="2014-03-23T00:00:00" u="1"/>
        <d v="2019-07-12T00:00:00" u="1"/>
        <d v="2015-03-23T00:00:00" u="1"/>
        <d v="2020-07-12T00:00:00" u="1"/>
        <d v="2016-03-23T00:00:00" u="1"/>
        <d v="2018-03-23T00:00:00" u="1"/>
        <d v="2019-03-23T00:00:00" u="1"/>
        <d v="2020-03-23T00:00:00" u="1"/>
        <d v="2021-03-23T00:00:00" u="1"/>
        <d v="2011-12-01T00:00:00" u="1"/>
        <d v="2012-12-01T00:00:00" u="1"/>
        <d v="2013-12-01T00:00:00" u="1"/>
        <d v="2015-12-01T00:00:00" u="1"/>
        <d v="2011-08-12T00:00:00" u="1"/>
        <d v="2016-12-01T00:00:00" u="1"/>
        <d v="2017-12-01T00:00:00" u="1"/>
        <d v="2013-08-12T00:00:00" u="1"/>
        <d v="2019-12-01T00:00:00" u="1"/>
        <d v="2015-08-12T00:00:00" u="1"/>
        <d v="2020-12-01T00:00:00" u="1"/>
        <d v="2016-08-12T00:00:00" u="1"/>
        <d v="2012-04-23T00:00:00" u="1"/>
        <d v="2018-08-12T00:00:00" u="1"/>
        <d v="2019-08-12T00:00:00" u="1"/>
        <d v="2015-04-23T00:00:00" u="1"/>
        <d v="2020-08-12T00:00:00" u="1"/>
        <d v="2016-04-23T00:00:00" u="1"/>
        <d v="2018-04-23T00:00:00" u="1"/>
        <d v="2019-04-23T00:00:00" u="1"/>
        <d v="2020-04-23T00:00:00" u="1"/>
        <d v="2021-04-23T00:00:00" u="1"/>
        <d v="2013-09-12T00:00:00" u="1"/>
        <d v="2015-09-12T00:00:00" u="1"/>
        <d v="2016-09-12T00:00:00" u="1"/>
        <d v="2013-05-23T00:00:00" u="1"/>
        <d v="2018-09-12T00:00:00" u="1"/>
        <d v="2019-09-12T00:00:00" u="1"/>
        <d v="2020-09-12T00:00:00" u="1"/>
        <d v="2016-05-23T00:00:00" u="1"/>
        <d v="2018-05-23T00:00:00" u="1"/>
        <d v="2019-05-23T00:00:00" u="1"/>
        <d v="2020-05-23T00:00:00" u="1"/>
        <d v="2013-10-12T00:00:00" u="1"/>
        <d v="2015-10-12T00:00:00" u="1"/>
        <d v="2016-10-12T00:00:00" u="1"/>
        <d v="2013-06-23T00:00:00" u="1"/>
        <d v="2019-10-12T00:00:00" u="1"/>
        <d v="2015-06-23T00:00:00" u="1"/>
        <d v="2020-10-12T00:00:00" u="1"/>
        <d v="2016-06-23T00:00:00" u="1"/>
        <d v="2018-06-23T00:00:00" u="1"/>
        <d v="2019-06-23T00:00:00" u="1"/>
        <d v="2020-06-23T00:00:00" u="1"/>
        <d v="2013-11-12T00:00:00" u="1"/>
        <d v="2015-11-12T00:00:00" u="1"/>
        <d v="2016-11-12T00:00:00" u="1"/>
        <d v="2013-07-23T00:00:00" u="1"/>
        <d v="2019-11-12T00:00:00" u="1"/>
        <d v="2015-07-23T00:00:00" u="1"/>
        <d v="2020-11-12T00:00:00" u="1"/>
        <d v="2017-07-23T00:00:00" u="1"/>
        <d v="2018-07-23T00:00:00" u="1"/>
        <d v="2019-07-23T00:00:00" u="1"/>
        <d v="2020-07-23T00:00:00" u="1"/>
        <d v="2011-12-12T00:00:00" u="1"/>
        <d v="2012-12-12T00:00:00" u="1"/>
        <d v="2013-12-12T00:00:00" u="1"/>
        <d v="2015-12-12T00:00:00" u="1"/>
        <d v="2011-08-23T00:00:00" u="1"/>
        <d v="2016-12-12T00:00:00" u="1"/>
        <d v="2017-12-12T00:00:00" u="1"/>
        <d v="2013-08-23T00:00:00" u="1"/>
        <d v="2019-12-12T00:00:00" u="1"/>
        <d v="2015-08-23T00:00:00" u="1"/>
        <d v="2020-12-12T00:00:00" u="1"/>
        <d v="2016-08-23T00:00:00" u="1"/>
        <d v="2018-08-23T00:00:00" u="1"/>
        <d v="2019-08-23T00:00:00" u="1"/>
        <d v="2020-08-23T00:00:00" u="1"/>
        <d v="2011-01-02T00:00:00" u="1"/>
        <d v="2013-01-02T00:00:00" u="1"/>
        <d v="2014-01-02T00:00:00" u="1"/>
        <d v="2016-01-02T00:00:00" u="1"/>
        <d v="2017-01-02T00:00:00" u="1"/>
        <d v="2018-01-02T00:00:00" u="1"/>
        <d v="2020-01-02T00:00:00" u="1"/>
        <d v="2021-01-02T00:00:00" u="1"/>
        <d v="2013-09-23T00:00:00" u="1"/>
        <d v="2015-09-23T00:00:00" u="1"/>
        <d v="2016-09-23T00:00:00" u="1"/>
        <d v="2018-09-23T00:00:00" u="1"/>
        <d v="2019-09-23T00:00:00" u="1"/>
        <d v="2020-09-23T00:00:00" u="1"/>
        <d v="2013-02-02T00:00:00" u="1"/>
        <d v="2014-02-02T00:00:00" u="1"/>
        <d v="2017-02-02T00:00:00" u="1"/>
        <d v="2018-02-02T00:00:00" u="1"/>
        <d v="2020-02-02T00:00:00" u="1"/>
        <d v="2021-02-02T00:00:00" u="1"/>
        <d v="2013-10-23T00:00:00" u="1"/>
        <d v="2015-10-23T00:00:00" u="1"/>
        <d v="2016-10-23T00:00:00" u="1"/>
        <d v="2019-10-23T00:00:00" u="1"/>
        <d v="2020-10-23T00:00:00" u="1"/>
        <d v="2013-03-02T00:00:00" u="1"/>
        <d v="2014-03-02T00:00:00" u="1"/>
        <d v="2015-03-02T00:00:00" u="1"/>
        <d v="2016-03-02T00:00:00" u="1"/>
        <d v="2018-03-02T00:00:00" u="1"/>
        <d v="2019-03-02T00:00:00" u="1"/>
        <d v="2020-03-02T00:00:00" u="1"/>
        <d v="2011-11-23T00:00:00" u="1"/>
        <d v="2021-03-02T00:00:00" u="1"/>
        <d v="2013-11-23T00:00:00" u="1"/>
        <d v="2015-11-23T00:00:00" u="1"/>
        <d v="2016-11-23T00:00:00" u="1"/>
        <d v="2019-11-23T00:00:00" u="1"/>
        <d v="2020-11-23T00:00:00" u="1"/>
        <d v="2012-04-02T00:00:00" u="1"/>
        <d v="2015-04-02T00:00:00" u="1"/>
        <d v="2016-04-02T00:00:00" u="1"/>
        <d v="2018-04-02T00:00:00" u="1"/>
        <d v="2019-04-02T00:00:00" u="1"/>
        <d v="2020-04-02T00:00:00" u="1"/>
        <d v="2011-12-23T00:00:00" u="1"/>
        <d v="2021-04-02T00:00:00" u="1"/>
        <d v="2012-12-23T00:00:00" u="1"/>
        <d v="2013-12-23T00:00:00" u="1"/>
        <d v="2015-12-23T00:00:00" u="1"/>
        <d v="2016-12-23T00:00:00" u="1"/>
        <d v="2017-12-23T00:00:00" u="1"/>
        <d v="2019-12-23T00:00:00" u="1"/>
        <d v="2020-12-23T00:00:00" u="1"/>
        <d v="2012-05-02T00:00:00" u="1"/>
        <d v="2013-05-02T00:00:00" u="1"/>
        <d v="2011-01-13T00:00:00" u="1"/>
        <d v="2016-05-02T00:00:00" u="1"/>
        <d v="2013-01-13T00:00:00" u="1"/>
        <d v="2018-05-02T00:00:00" u="1"/>
        <d v="2014-01-13T00:00:00" u="1"/>
        <d v="2019-05-02T00:00:00" u="1"/>
        <d v="2020-05-02T00:00:00" u="1"/>
        <d v="2016-01-13T00:00:00" u="1"/>
        <d v="2017-01-13T00:00:00" u="1"/>
        <d v="2018-01-13T00:00:00" u="1"/>
        <d v="2020-01-13T00:00:00" u="1"/>
        <d v="2021-01-13T00:00:00" u="1"/>
        <d v="2013-06-02T00:00:00" u="1"/>
        <d v="2015-06-02T00:00:00" u="1"/>
        <d v="2016-06-02T00:00:00" u="1"/>
        <d v="2013-02-13T00:00:00" u="1"/>
        <d v="2018-06-02T00:00:00" u="1"/>
        <d v="2014-02-13T00:00:00" u="1"/>
        <d v="2019-06-02T00:00:00" u="1"/>
        <d v="2020-06-02T00:00:00" u="1"/>
        <d v="2017-02-13T00:00:00" u="1"/>
        <d v="2018-02-13T00:00:00" u="1"/>
        <d v="2020-02-13T00:00:00" u="1"/>
        <d v="2021-02-13T00:00:00" u="1"/>
        <d v="2013-07-02T00:00:00" u="1"/>
        <d v="2015-07-02T00:00:00" u="1"/>
        <d v="2017-07-02T00:00:00" u="1"/>
        <d v="2018-07-02T00:00:00" u="1"/>
        <d v="2014-03-13T00:00:00" u="1"/>
        <d v="2019-07-02T00:00:00" u="1"/>
        <d v="2015-03-13T00:00:00" u="1"/>
        <d v="2020-07-02T00:00:00" u="1"/>
        <d v="2016-03-13T00:00:00" u="1"/>
        <d v="2018-03-13T00:00:00" u="1"/>
        <d v="2019-03-13T00:00:00" u="1"/>
        <d v="2020-03-13T00:00:00" u="1"/>
        <d v="2021-03-13T00:00:00" u="1"/>
        <d v="2011-08-02T00:00:00" u="1"/>
        <d v="2013-08-02T00:00:00" u="1"/>
        <d v="2015-08-02T00:00:00" u="1"/>
        <d v="2016-08-02T00:00:00" u="1"/>
        <d v="2012-04-13T00:00:00" u="1"/>
        <d v="2018-08-02T00:00:00" u="1"/>
        <d v="2019-08-02T00:00:00" u="1"/>
        <d v="2015-04-13T00:00:00" u="1"/>
        <d v="2020-08-02T00:00:00" u="1"/>
        <d v="2016-04-13T00:00:00" u="1"/>
        <d v="2018-04-13T00:00:00" u="1"/>
        <d v="2019-04-13T00:00:00" u="1"/>
        <d v="2020-04-13T00:00:00" u="1"/>
        <d v="2021-04-13T00:00:00" u="1"/>
        <d v="2013-09-02T00:00:00" u="1"/>
        <d v="2015-09-02T00:00:00" u="1"/>
        <d v="2016-09-02T00:00:00" u="1"/>
        <d v="2013-05-13T00:00:00" u="1"/>
        <d v="2018-09-02T00:00:00" u="1"/>
        <d v="2019-09-02T00:00:00" u="1"/>
        <d v="2020-09-02T00:00:00" u="1"/>
        <d v="2011-01-24T00:00:00" u="1"/>
        <d v="2016-05-13T00:00:00" u="1"/>
        <d v="2013-01-24T00:00:00" u="1"/>
        <d v="2018-05-13T00:00:00" u="1"/>
        <d v="2014-01-24T00:00:00" u="1"/>
        <d v="2019-05-13T00:00:00" u="1"/>
        <d v="2020-05-13T00:00:00" u="1"/>
        <d v="2016-01-24T00:00:00" u="1"/>
        <d v="2017-01-24T00:00:00" u="1"/>
        <d v="2018-01-24T00:00:00" u="1"/>
        <d v="2020-01-24T00:00:00" u="1"/>
        <d v="2021-01-24T00:00:00" u="1"/>
        <d v="2013-10-02T00:00:00" u="1"/>
        <d v="2015-10-02T00:00:00" u="1"/>
        <d v="2016-10-02T00:00:00" u="1"/>
        <d v="2013-06-13T00:00:00" u="1"/>
        <d v="2019-10-02T00:00:00" u="1"/>
        <d v="2015-06-13T00:00:00" u="1"/>
        <d v="2020-10-02T00:00:00" u="1"/>
        <d v="2016-06-13T00:00:00" u="1"/>
        <d v="2013-02-24T00:00:00" u="1"/>
        <d v="2018-06-13T00:00:00" u="1"/>
        <d v="2014-02-24T00:00:00" u="1"/>
        <d v="2019-06-13T00:00:00" u="1"/>
        <d v="2020-06-13T00:00:00" u="1"/>
        <d v="2017-02-24T00:00:00" u="1"/>
        <d v="2018-02-24T00:00:00" u="1"/>
        <d v="2020-02-24T00:00:00" u="1"/>
        <d v="2021-02-24T00:00:00" u="1"/>
        <d v="2011-11-02T00:00:00" u="1"/>
        <d v="2013-11-02T00:00:00" u="1"/>
        <d v="2015-11-02T00:00:00" u="1"/>
        <d v="2016-11-02T00:00:00" u="1"/>
        <d v="2013-07-13T00:00:00" u="1"/>
        <d v="2019-11-02T00:00:00" u="1"/>
        <d v="2015-07-13T00:00:00" u="1"/>
        <d v="2020-11-02T00:00:00" u="1"/>
        <d v="2017-07-13T00:00:00" u="1"/>
        <d v="2018-07-13T00:00:00" u="1"/>
        <d v="2014-03-24T00:00:00" u="1"/>
        <d v="2019-07-13T00:00:00" u="1"/>
        <d v="2015-03-24T00:00:00" u="1"/>
        <d v="2020-07-13T00:00:00" u="1"/>
        <d v="2016-03-24T00:00:00" u="1"/>
        <d v="2018-03-24T00:00:00" u="1"/>
        <d v="2019-03-24T00:00:00" u="1"/>
        <d v="2020-03-24T00:00:00" u="1"/>
        <d v="2021-03-24T00:00:00" u="1"/>
        <d v="2011-12-02T00:00:00" u="1"/>
        <d v="2012-12-02T00:00:00" u="1"/>
        <d v="2013-12-02T00:00:00" u="1"/>
        <d v="2015-12-02T00:00:00" u="1"/>
        <d v="2011-08-13T00:00:00" u="1"/>
        <d v="2016-12-02T00:00:00" u="1"/>
        <d v="2017-12-02T00:00:00" u="1"/>
        <d v="2013-08-13T00:00:00" u="1"/>
        <d v="2019-12-02T00:00:00" u="1"/>
        <d v="2015-08-13T00:00:00" u="1"/>
        <d v="2020-12-02T00:00:00" u="1"/>
        <d v="2016-08-13T00:00:00" u="1"/>
        <d v="2012-04-24T00:00:00" u="1"/>
        <d v="2018-08-13T00:00:00" u="1"/>
        <d v="2019-08-13T00:00:00" u="1"/>
        <d v="2015-04-24T00:00:00" u="1"/>
        <d v="2020-08-13T00:00:00" u="1"/>
        <d v="2016-04-24T00:00:00" u="1"/>
        <d v="2018-04-24T00:00:00" u="1"/>
        <d v="2019-04-24T00:00:00" u="1"/>
        <d v="2020-04-24T00:00:00" u="1"/>
        <d v="2021-04-24T00:00:00" u="1"/>
        <d v="2013-09-13T00:00:00" u="1"/>
        <d v="2015-09-13T00:00:00" u="1"/>
        <d v="2016-09-13T00:00:00" u="1"/>
        <d v="2013-05-24T00:00:00" u="1"/>
        <d v="2018-09-13T00:00:00" u="1"/>
        <d v="2019-09-13T00:00:00" u="1"/>
        <d v="2020-09-13T00:00:00" u="1"/>
        <d v="2016-05-24T00:00:00" u="1"/>
        <d v="2018-05-24T00:00:00" u="1"/>
        <d v="2019-05-24T00:00:00" u="1"/>
        <d v="2020-05-24T00:00:00" u="1"/>
        <d v="2013-10-13T00:00:00" u="1"/>
        <d v="2015-10-13T00:00:00" u="1"/>
        <d v="2016-10-13T00:00:00" u="1"/>
        <d v="2013-06-24T00:00:00" u="1"/>
        <d v="2019-10-13T00:00:00" u="1"/>
        <d v="2015-06-24T00:00:00" u="1"/>
        <d v="2020-10-13T00:00:00" u="1"/>
        <d v="2016-06-24T00:00:00" u="1"/>
        <d v="2018-06-24T00:00:00" u="1"/>
        <d v="2019-06-24T00:00:00" u="1"/>
        <d v="2020-06-24T00:00:00" u="1"/>
        <d v="2013-11-13T00:00:00" u="1"/>
        <d v="2015-11-13T00:00:00" u="1"/>
        <d v="2016-11-13T00:00:00" u="1"/>
        <d v="2013-07-24T00:00:00" u="1"/>
        <d v="2019-11-13T00:00:00" u="1"/>
        <d v="2015-07-24T00:00:00" u="1"/>
        <d v="2020-11-13T00:00:00" u="1"/>
        <d v="2017-07-24T00:00:00" u="1"/>
        <d v="2018-07-24T00:00:00" u="1"/>
        <d v="2019-07-24T00:00:00" u="1"/>
        <d v="2020-07-24T00:00:00" u="1"/>
        <d v="2011-12-13T00:00:00" u="1"/>
        <d v="2012-12-13T00:00:00" u="1"/>
        <d v="2013-12-13T00:00:00" u="1"/>
        <d v="2015-12-13T00:00:00" u="1"/>
        <d v="2011-08-24T00:00:00" u="1"/>
        <d v="2016-12-13T00:00:00" u="1"/>
        <d v="2017-12-13T00:00:00" u="1"/>
        <d v="2013-08-24T00:00:00" u="1"/>
        <d v="2019-12-13T00:00:00" u="1"/>
        <d v="2015-08-24T00:00:00" u="1"/>
        <d v="2020-12-13T00:00:00" u="1"/>
        <d v="2016-08-24T00:00:00" u="1"/>
        <d v="2018-08-24T00:00:00" u="1"/>
        <d v="2019-08-24T00:00:00" u="1"/>
        <d v="2020-08-24T00:00:00" u="1"/>
        <d v="2011-01-03T00:00:00" u="1"/>
        <d v="2013-01-03T00:00:00" u="1"/>
        <d v="2014-01-03T00:00:00" u="1"/>
        <d v="2016-01-03T00:00:00" u="1"/>
        <d v="2017-01-03T00:00:00" u="1"/>
        <d v="2018-01-03T00:00:00" u="1"/>
        <d v="2020-01-03T00:00:00" u="1"/>
        <d v="2021-01-03T00:00:00" u="1"/>
        <d v="2013-09-24T00:00:00" u="1"/>
        <d v="2015-09-24T00:00:00" u="1"/>
        <d v="2016-09-24T00:00:00" u="1"/>
        <d v="2018-09-24T00:00:00" u="1"/>
        <d v="2019-09-24T00:00:00" u="1"/>
        <d v="2020-09-24T00:00:00" u="1"/>
        <d v="2013-02-03T00:00:00" u="1"/>
        <d v="2014-02-03T00:00:00" u="1"/>
        <d v="2017-02-03T00:00:00" u="1"/>
        <d v="2018-02-03T00:00:00" u="1"/>
        <d v="2020-02-03T00:00:00" u="1"/>
        <d v="2021-02-03T00:00:00" u="1"/>
        <d v="2013-10-24T00:00:00" u="1"/>
        <d v="2015-10-24T00:00:00" u="1"/>
        <d v="2016-10-24T00:00:00" u="1"/>
        <d v="2019-10-24T00:00:00" u="1"/>
        <d v="2020-10-24T00:00:00" u="1"/>
        <d v="2013-03-03T00:00:00" u="1"/>
        <d v="2014-03-03T00:00:00" u="1"/>
        <d v="2015-03-03T00:00:00" u="1"/>
        <d v="2016-03-03T00:00:00" u="1"/>
        <d v="2018-03-03T00:00:00" u="1"/>
        <d v="2019-03-03T00:00:00" u="1"/>
        <d v="2020-03-03T00:00:00" u="1"/>
        <d v="2011-11-24T00:00:00" u="1"/>
        <d v="2021-03-03T00:00:00" u="1"/>
        <d v="2013-11-24T00:00:00" u="1"/>
        <d v="2015-11-24T00:00:00" u="1"/>
        <d v="2016-11-24T00:00:00" u="1"/>
        <d v="2019-11-24T00:00:00" u="1"/>
        <d v="2020-11-24T00:00:00" u="1"/>
        <d v="2012-04-03T00:00:00" u="1"/>
        <d v="2015-04-03T00:00:00" u="1"/>
        <d v="2016-04-03T00:00:00" u="1"/>
        <d v="2018-04-03T00:00:00" u="1"/>
        <d v="2019-04-03T00:00:00" u="1"/>
        <d v="2020-04-03T00:00:00" u="1"/>
        <d v="2021-04-03T00:00:00" u="1"/>
        <d v="2012-12-24T00:00:00" u="1"/>
        <d v="2013-12-24T00:00:00" u="1"/>
        <d v="2015-12-24T00:00:00" u="1"/>
        <d v="2016-12-24T00:00:00" u="1"/>
        <d v="2017-12-24T00:00:00" u="1"/>
        <d v="2019-12-24T00:00:00" u="1"/>
        <d v="2020-12-24T00:00:00" u="1"/>
        <d v="2013-05-03T00:00:00" u="1"/>
        <d v="2011-01-14T00:00:00" u="1"/>
        <d v="2016-05-03T00:00:00" u="1"/>
        <d v="2013-01-14T00:00:00" u="1"/>
        <d v="2018-05-03T00:00:00" u="1"/>
        <d v="2014-01-14T00:00:00" u="1"/>
        <d v="2019-05-03T00:00:00" u="1"/>
        <d v="2020-05-03T00:00:00" u="1"/>
        <d v="2016-01-14T00:00:00" u="1"/>
        <d v="2017-01-14T00:00:00" u="1"/>
        <d v="2018-01-14T00:00:00" u="1"/>
        <d v="2020-01-14T00:00:00" u="1"/>
        <d v="2021-01-14T00:00:00" u="1"/>
        <d v="2013-06-03T00:00:00" u="1"/>
        <d v="2015-06-03T00:00:00" u="1"/>
        <d v="2016-06-03T00:00:00" u="1"/>
        <d v="2013-02-14T00:00:00" u="1"/>
        <d v="2018-06-03T00:00:00" u="1"/>
        <d v="2014-02-14T00:00:00" u="1"/>
        <d v="2019-06-03T00:00:00" u="1"/>
        <d v="2020-06-03T00:00:00" u="1"/>
        <d v="2017-02-14T00:00:00" u="1"/>
        <d v="2018-02-14T00:00:00" u="1"/>
        <d v="2020-02-14T00:00:00" u="1"/>
        <d v="2021-02-14T00:00:00" u="1"/>
        <d v="2013-07-03T00:00:00" u="1"/>
        <d v="2015-07-03T00:00:00" u="1"/>
        <d v="2017-07-03T00:00:00" u="1"/>
        <d v="2018-07-03T00:00:00" u="1"/>
        <d v="2014-03-14T00:00:00" u="1"/>
        <d v="2019-07-03T00:00:00" u="1"/>
        <d v="2015-03-14T00:00:00" u="1"/>
        <d v="2020-07-03T00:00:00" u="1"/>
        <d v="2016-03-14T00:00:00" u="1"/>
        <d v="2018-03-14T00:00:00" u="1"/>
        <d v="2019-03-14T00:00:00" u="1"/>
        <d v="2020-03-14T00:00:00" u="1"/>
        <d v="2021-03-14T00:00:00" u="1"/>
        <d v="2011-08-03T00:00:00" u="1"/>
        <d v="2013-08-03T00:00:00" u="1"/>
        <d v="2015-08-03T00:00:00" u="1"/>
        <d v="2016-08-03T00:00:00" u="1"/>
        <d v="2012-04-14T00:00:00" u="1"/>
        <d v="2018-08-03T00:00:00" u="1"/>
        <d v="2019-08-03T00:00:00" u="1"/>
        <d v="2015-04-14T00:00:00" u="1"/>
        <d v="2020-08-03T00:00:00" u="1"/>
        <d v="2016-04-14T00:00:00" u="1"/>
        <d v="2018-04-14T00:00:00" u="1"/>
        <d v="2019-04-14T00:00:00" u="1"/>
        <d v="2020-04-14T00:00:00" u="1"/>
        <d v="2021-04-14T00:00:00" u="1"/>
        <d v="2013-09-03T00:00:00" u="1"/>
        <d v="2015-09-03T00:00:00" u="1"/>
        <d v="2016-09-03T00:00:00" u="1"/>
        <d v="2013-05-14T00:00:00" u="1"/>
        <d v="2018-09-03T00:00:00" u="1"/>
        <d v="2019-09-03T00:00:00" u="1"/>
        <d v="2020-09-03T00:00:00" u="1"/>
        <d v="2011-01-25T00:00:00" u="1"/>
        <d v="2016-05-14T00:00:00" u="1"/>
        <d v="2013-01-25T00:00:00" u="1"/>
        <d v="2018-05-14T00:00:00" u="1"/>
        <d v="2014-01-25T00:00:00" u="1"/>
        <d v="2019-05-14T00:00:00" u="1"/>
        <d v="2020-05-14T00:00:00" u="1"/>
        <d v="2016-01-25T00:00:00" u="1"/>
        <d v="2017-01-25T00:00:00" u="1"/>
        <d v="2018-01-25T00:00:00" u="1"/>
        <d v="2020-01-25T00:00:00" u="1"/>
        <d v="2021-01-25T00:00:00" u="1"/>
        <d v="2013-10-03T00:00:00" u="1"/>
        <d v="2015-10-03T00:00:00" u="1"/>
        <d v="2016-10-03T00:00:00" u="1"/>
        <d v="2013-06-14T00:00:00" u="1"/>
        <d v="2019-10-03T00:00:00" u="1"/>
        <d v="2015-06-14T00:00:00" u="1"/>
        <d v="2020-10-03T00:00:00" u="1"/>
        <d v="2016-06-14T00:00:00" u="1"/>
        <d v="2013-02-25T00:00:00" u="1"/>
        <d v="2018-06-14T00:00:00" u="1"/>
        <d v="2014-02-25T00:00:00" u="1"/>
        <d v="2019-06-14T00:00:00" u="1"/>
        <d v="2020-06-14T00:00:00" u="1"/>
        <d v="2017-02-25T00:00:00" u="1"/>
        <d v="2018-02-25T00:00:00" u="1"/>
        <d v="2020-02-25T00:00:00" u="1"/>
        <d v="2021-02-25T00:00:00" u="1"/>
        <d v="2011-11-03T00:00:00" u="1"/>
        <d v="2013-11-03T00:00:00" u="1"/>
        <d v="2015-11-03T00:00:00" u="1"/>
        <d v="2016-11-03T00:00:00" u="1"/>
        <d v="2013-07-14T00:00:00" u="1"/>
        <d v="2019-11-03T00:00:00" u="1"/>
        <d v="2015-07-14T00:00:00" u="1"/>
        <d v="2020-11-03T00:00:00" u="1"/>
        <d v="2017-07-14T00:00:00" u="1"/>
        <d v="2018-07-14T00:00:00" u="1"/>
        <d v="2014-03-25T00:00:00" u="1"/>
        <d v="2019-07-14T00:00:00" u="1"/>
        <d v="2015-03-25T00:00:00" u="1"/>
        <d v="2020-07-14T00:00:00" u="1"/>
        <d v="2016-03-25T00:00:00" u="1"/>
        <d v="2018-03-25T00:00:00" u="1"/>
        <d v="2019-03-25T00:00:00" u="1"/>
        <d v="2020-03-25T00:00:00" u="1"/>
        <d v="2021-03-25T00:00:00" u="1"/>
        <d v="2012-12-03T00:00:00" u="1"/>
        <d v="2013-12-03T00:00:00" u="1"/>
        <d v="2015-12-03T00:00:00" u="1"/>
        <d v="2011-08-14T00:00:00" u="1"/>
        <d v="2016-12-03T00:00:00" u="1"/>
        <d v="2017-12-03T00:00:00" u="1"/>
        <d v="2013-08-14T00:00:00" u="1"/>
        <d v="2019-12-03T00:00:00" u="1"/>
        <d v="2015-08-14T00:00:00" u="1"/>
        <d v="2020-12-03T00:00:00" u="1"/>
        <d v="2016-08-14T00:00:00" u="1"/>
        <d v="2012-04-25T00:00:00" u="1"/>
        <d v="2018-08-14T00:00:00" u="1"/>
        <d v="2019-08-14T00:00:00" u="1"/>
        <d v="2015-04-25T00:00:00" u="1"/>
        <d v="2020-08-14T00:00:00" u="1"/>
        <d v="2016-04-25T00:00:00" u="1"/>
        <d v="2018-04-25T00:00:00" u="1"/>
        <d v="2019-04-25T00:00:00" u="1"/>
        <d v="2020-04-25T00:00:00" u="1"/>
        <d v="2021-04-25T00:00:00" u="1"/>
        <d v="2013-09-14T00:00:00" u="1"/>
        <d v="2015-09-14T00:00:00" u="1"/>
        <d v="2016-09-14T00:00:00" u="1"/>
        <d v="2013-05-25T00:00:00" u="1"/>
        <d v="2018-09-14T00:00:00" u="1"/>
        <d v="2019-09-14T00:00:00" u="1"/>
        <d v="2020-09-14T00:00:00" u="1"/>
        <d v="2016-05-25T00:00:00" u="1"/>
        <d v="2018-05-25T00:00:00" u="1"/>
        <d v="2019-05-25T00:00:00" u="1"/>
        <d v="2020-05-25T00:00:00" u="1"/>
        <d v="2013-10-14T00:00:00" u="1"/>
        <d v="2015-10-14T00:00:00" u="1"/>
        <d v="2016-10-14T00:00:00" u="1"/>
        <d v="2013-06-25T00:00:00" u="1"/>
        <d v="2019-10-14T00:00:00" u="1"/>
        <d v="2015-06-25T00:00:00" u="1"/>
        <d v="2020-10-14T00:00:00" u="1"/>
        <d v="2016-06-25T00:00:00" u="1"/>
        <d v="2018-06-25T00:00:00" u="1"/>
        <d v="2019-06-25T00:00:00" u="1"/>
        <d v="2020-06-25T00:00:00" u="1"/>
        <d v="2011-11-14T00:00:00" u="1"/>
        <d v="2013-11-14T00:00:00" u="1"/>
        <d v="2015-11-14T00:00:00" u="1"/>
        <d v="2016-11-14T00:00:00" u="1"/>
        <d v="2013-07-25T00:00:00" u="1"/>
        <d v="2019-11-14T00:00:00" u="1"/>
        <d v="2015-07-25T00:00:00" u="1"/>
        <d v="2020-11-14T00:00:00" u="1"/>
        <d v="2017-07-25T00:00:00" u="1"/>
        <d v="2018-07-25T00:00:00" u="1"/>
        <d v="2019-07-25T00:00:00" u="1"/>
        <d v="2020-07-25T00:00:00" u="1"/>
        <d v="2011-12-14T00:00:00" u="1"/>
        <d v="2012-12-14T00:00:00" u="1"/>
        <d v="2013-12-14T00:00:00" u="1"/>
        <d v="2015-12-14T00:00:00" u="1"/>
        <d v="2011-08-25T00:00:00" u="1"/>
        <d v="2016-12-14T00:00:00" u="1"/>
        <d v="2017-12-14T00:00:00" u="1"/>
        <d v="2013-08-25T00:00:00" u="1"/>
        <d v="2019-12-14T00:00:00" u="1"/>
        <d v="2015-08-25T00:00:00" u="1"/>
        <d v="2020-12-14T00:00:00" u="1"/>
        <d v="2016-08-25T00:00:00" u="1"/>
        <d v="2018-08-25T00:00:00" u="1"/>
        <d v="2019-08-25T00:00:00" u="1"/>
        <d v="2020-08-25T00:00:00" u="1"/>
        <d v="2011-01-04T00:00:00" u="1"/>
        <d v="2013-01-04T00:00:00" u="1"/>
        <d v="2014-01-04T00:00:00" u="1"/>
        <d v="2016-01-04T00:00:00" u="1"/>
        <d v="2017-01-04T00:00:00" u="1"/>
        <d v="2018-01-04T00:00:00" u="1"/>
        <d v="2020-01-04T00:00:00" u="1"/>
        <d v="2021-01-04T00:00:00" u="1"/>
        <d v="2013-09-25T00:00:00" u="1"/>
        <d v="2015-09-25T00:00:00" u="1"/>
        <d v="2016-09-25T00:00:00" u="1"/>
        <d v="2018-09-25T00:00:00" u="1"/>
        <d v="2019-09-25T00:00:00" u="1"/>
        <d v="2020-09-25T00:00:00" u="1"/>
        <d v="2013-02-04T00:00:00" u="1"/>
        <d v="2014-02-04T00:00:00" u="1"/>
        <d v="2017-02-04T00:00:00" u="1"/>
        <d v="2018-02-04T00:00:00" u="1"/>
        <d v="2020-02-04T00:00:00" u="1"/>
        <d v="2021-02-04T00:00:00" u="1"/>
        <d v="2013-10-25T00:00:00" u="1"/>
        <d v="2015-10-25T00:00:00" u="1"/>
        <d v="2016-10-25T00:00:00" u="1"/>
        <d v="2019-10-25T00:00:00" u="1"/>
        <d v="2020-10-25T00:00:00" u="1"/>
        <d v="2014-03-04T00:00:00" u="1"/>
        <d v="2015-03-04T00:00:00" u="1"/>
        <d v="2016-03-04T00:00:00" u="1"/>
        <d v="2018-03-04T00:00:00" u="1"/>
        <d v="2019-03-04T00:00:00" u="1"/>
        <d v="2020-03-04T00:00:00" u="1"/>
        <d v="2011-11-25T00:00:00" u="1"/>
        <d v="2021-03-04T00:00:00" u="1"/>
        <d v="2013-11-25T00:00:00" u="1"/>
        <d v="2015-11-25T00:00:00" u="1"/>
        <d v="2016-11-25T00:00:00" u="1"/>
        <d v="2019-11-25T00:00:00" u="1"/>
        <d v="2020-11-25T00:00:00" u="1"/>
        <d v="2012-04-04T00:00:00" u="1"/>
        <d v="2015-04-04T00:00:00" u="1"/>
        <d v="2016-04-04T00:00:00" u="1"/>
        <d v="2018-04-04T00:00:00" u="1"/>
        <d v="2019-04-04T00:00:00" u="1"/>
        <d v="2020-04-04T00:00:00" u="1"/>
        <d v="2021-04-04T00:00:00" u="1"/>
        <d v="2012-12-25T00:00:00" u="1"/>
        <d v="2015-12-25T00:00:00" u="1"/>
        <d v="2016-12-25T00:00:00" u="1"/>
        <d v="2017-12-25T00:00:00" u="1"/>
        <d v="2019-12-25T00:00:00" u="1"/>
        <d v="2020-12-25T00:00:00" u="1"/>
        <d v="2013-05-04T00:00:00" u="1"/>
        <d v="2011-01-15T00:00:00" u="1"/>
        <d v="2016-05-04T00:00:00" u="1"/>
        <d v="2013-01-15T00:00:00" u="1"/>
        <d v="2018-05-04T00:00:00" u="1"/>
        <d v="2014-01-15T00:00:00" u="1"/>
        <d v="2019-05-04T00:00:00" u="1"/>
        <d v="2020-05-04T00:00:00" u="1"/>
        <d v="2016-01-15T00:00:00" u="1"/>
        <d v="2017-01-15T00:00:00" u="1"/>
        <d v="2018-01-15T00:00:00" u="1"/>
        <d v="2020-01-15T00:00:00" u="1"/>
        <d v="2021-01-15T00:00:00" u="1"/>
        <d v="2013-06-04T00:00:00" u="1"/>
        <d v="2015-06-04T00:00:00" u="1"/>
        <d v="2016-06-04T00:00:00" u="1"/>
        <d v="2013-02-15T00:00:00" u="1"/>
        <d v="2018-06-04T00:00:00" u="1"/>
        <d v="2014-02-15T00:00:00" u="1"/>
        <d v="2019-06-04T00:00:00" u="1"/>
        <d v="2020-06-04T00:00:00" u="1"/>
        <d v="2017-02-15T00:00:00" u="1"/>
        <d v="2018-02-15T00:00:00" u="1"/>
        <d v="2020-02-15T00:00:00" u="1"/>
        <d v="2021-02-15T00:00:00" u="1"/>
        <d v="2013-07-04T00:00:00" u="1"/>
        <d v="2015-07-04T00:00:00" u="1"/>
        <d v="2017-07-04T00:00:00" u="1"/>
        <d v="2018-07-04T00:00:00" u="1"/>
        <d v="2014-03-15T00:00:00" u="1"/>
        <d v="2019-07-04T00:00:00" u="1"/>
        <d v="2015-03-15T00:00:00" u="1"/>
        <d v="2020-07-04T00:00:00" u="1"/>
        <d v="2016-03-15T00:00:00" u="1"/>
        <d v="2018-03-15T00:00:00" u="1"/>
        <d v="2019-03-15T00:00:00" u="1"/>
        <d v="2020-03-15T00:00:00" u="1"/>
        <d v="2021-03-15T00:00:00" u="1"/>
        <d v="2011-08-04T00:00:00" u="1"/>
        <d v="2013-08-04T00:00:00" u="1"/>
        <d v="2015-08-04T00:00:00" u="1"/>
        <d v="2016-08-04T00:00:00" u="1"/>
        <d v="2012-04-15T00:00:00" u="1"/>
        <d v="2018-08-04T00:00:00" u="1"/>
        <d v="2014-04-15T00:00:00" u="1"/>
        <d v="2019-08-04T00:00:00" u="1"/>
        <d v="2015-04-15T00:00:00" u="1"/>
        <d v="2020-08-04T00:00:00" u="1"/>
        <d v="2016-04-15T00:00:00" u="1"/>
        <d v="2018-04-15T00:00:00" u="1"/>
        <d v="2019-04-15T00:00:00" u="1"/>
        <d v="2020-04-15T00:00:00" u="1"/>
        <d v="2021-04-15T00:00:00" u="1"/>
        <d v="2013-09-04T00:00:00" u="1"/>
        <d v="2015-09-04T00:00:00" u="1"/>
        <d v="2016-09-04T00:00:00" u="1"/>
        <d v="2013-05-15T00:00:00" u="1"/>
        <d v="2018-09-04T00:00:00" u="1"/>
        <d v="2019-09-04T00:00:00" u="1"/>
        <d v="2020-09-04T00:00:00" u="1"/>
        <d v="2011-01-26T00:00:00" u="1"/>
        <d v="2016-05-15T00:00:00" u="1"/>
        <d v="2013-01-26T00:00:00" u="1"/>
        <d v="2018-05-15T00:00:00" u="1"/>
        <d v="2014-01-26T00:00:00" u="1"/>
        <d v="2019-05-15T00:00:00" u="1"/>
        <d v="2020-05-15T00:00:00" u="1"/>
        <d v="2016-01-26T00:00:00" u="1"/>
        <d v="2017-01-26T00:00:00" u="1"/>
        <d v="2018-01-26T00:00:00" u="1"/>
        <d v="2020-01-26T00:00:00" u="1"/>
        <d v="2021-01-26T00:00:00" u="1"/>
        <d v="2013-10-04T00:00:00" u="1"/>
        <d v="2015-10-04T00:00:00" u="1"/>
        <d v="2016-10-04T00:00:00" u="1"/>
        <d v="2013-06-15T00:00:00" u="1"/>
        <d v="2019-10-04T00:00:00" u="1"/>
        <d v="2015-06-15T00:00:00" u="1"/>
        <d v="2020-10-04T00:00:00" u="1"/>
        <d v="2016-06-15T00:00:00" u="1"/>
        <d v="2013-02-26T00:00:00" u="1"/>
        <d v="2018-06-15T00:00:00" u="1"/>
        <d v="2014-02-26T00:00:00" u="1"/>
        <d v="2019-06-15T00:00:00" u="1"/>
        <d v="2020-06-15T00:00:00" u="1"/>
        <d v="2017-02-26T00:00:00" u="1"/>
        <d v="2018-02-26T00:00:00" u="1"/>
        <d v="2020-02-26T00:00:00" u="1"/>
        <d v="2021-02-26T00:00:00" u="1"/>
        <d v="2011-11-04T00:00:00" u="1"/>
        <d v="2013-11-04T00:00:00" u="1"/>
        <d v="2015-11-04T00:00:00" u="1"/>
        <d v="2016-11-04T00:00:00" u="1"/>
        <d v="2013-07-15T00:00:00" u="1"/>
        <d v="2019-11-04T00:00:00" u="1"/>
        <d v="2015-07-15T00:00:00" u="1"/>
        <d v="2020-11-04T00:00:00" u="1"/>
        <d v="2017-07-15T00:00:00" u="1"/>
        <d v="2018-07-15T00:00:00" u="1"/>
        <d v="2014-03-26T00:00:00" u="1"/>
        <d v="2019-07-15T00:00:00" u="1"/>
        <d v="2015-03-26T00:00:00" u="1"/>
        <d v="2020-07-15T00:00:00" u="1"/>
        <d v="2016-03-26T00:00:00" u="1"/>
        <d v="2018-03-26T00:00:00" u="1"/>
        <d v="2019-03-26T00:00:00" u="1"/>
        <d v="2020-03-26T00:00:00" u="1"/>
        <d v="2021-03-26T00:00:00" u="1"/>
        <d v="2012-12-04T00:00:00" u="1"/>
        <d v="2013-12-04T00:00:00" u="1"/>
        <d v="2015-12-04T00:00:00" u="1"/>
        <d v="2011-08-15T00:00:00" u="1"/>
        <d v="2016-12-04T00:00:00" u="1"/>
        <d v="2017-12-04T00:00:00" u="1"/>
        <d v="2013-08-15T00:00:00" u="1"/>
        <d v="2019-12-04T00:00:00" u="1"/>
        <d v="2015-08-15T00:00:00" u="1"/>
        <d v="2020-12-04T00:00:00" u="1"/>
        <d v="2016-08-15T00:00:00" u="1"/>
        <d v="2012-04-26T00:00:00" u="1"/>
        <d v="2018-08-15T00:00:00" u="1"/>
        <d v="2019-08-15T00:00:00" u="1"/>
        <d v="2015-04-26T00:00:00" u="1"/>
        <d v="2020-08-15T00:00:00" u="1"/>
        <d v="2016-04-26T00:00:00" u="1"/>
        <d v="2018-04-26T00:00:00" u="1"/>
        <d v="2019-04-26T00:00:00" u="1"/>
        <d v="2020-04-26T00:00:00" u="1"/>
        <d v="2021-04-26T00:00:00" u="1"/>
        <d v="2013-09-15T00:00:00" u="1"/>
        <d v="2015-09-15T00:00:00" u="1"/>
        <d v="2016-09-15T00:00:00" u="1"/>
        <d v="2013-05-26T00:00:00" u="1"/>
        <d v="2018-09-15T00:00:00" u="1"/>
        <d v="2019-09-15T00:00:00" u="1"/>
        <d v="2020-09-15T00:00:00" u="1"/>
        <d v="2016-05-26T00:00:00" u="1"/>
        <d v="2018-05-26T00:00:00" u="1"/>
        <d v="2019-05-26T00:00:00" u="1"/>
        <d v="2020-05-26T00:00:00" u="1"/>
        <d v="2013-10-15T00:00:00" u="1"/>
        <d v="2015-10-15T00:00:00" u="1"/>
        <d v="2016-10-15T00:00:00" u="1"/>
        <d v="2013-06-26T00:00:00" u="1"/>
        <d v="2019-10-15T00:00:00" u="1"/>
        <d v="2015-06-26T00:00:00" u="1"/>
        <d v="2020-10-15T00:00:00" u="1"/>
        <d v="2016-06-26T00:00:00" u="1"/>
        <d v="2018-06-26T00:00:00" u="1"/>
        <d v="2019-06-26T00:00:00" u="1"/>
        <d v="2020-06-26T00:00:00" u="1"/>
        <d v="2011-11-15T00:00:00" u="1"/>
        <d v="2013-11-15T00:00:00" u="1"/>
        <d v="2015-11-15T00:00:00" u="1"/>
        <d v="2016-11-15T00:00:00" u="1"/>
        <d v="2013-07-26T00:00:00" u="1"/>
        <d v="2019-11-15T00:00:00" u="1"/>
        <d v="2015-07-26T00:00:00" u="1"/>
        <d v="2020-11-15T00:00:00" u="1"/>
        <d v="2017-07-26T00:00:00" u="1"/>
        <d v="2018-07-26T00:00:00" u="1"/>
        <d v="2019-07-26T00:00:00" u="1"/>
        <d v="2020-07-26T00:00:00" u="1"/>
        <d v="2011-12-15T00:00:00" u="1"/>
        <d v="2012-12-15T00:00:00" u="1"/>
        <d v="2015-12-15T00:00:00" u="1"/>
        <d v="2011-08-26T00:00:00" u="1"/>
        <d v="2016-12-15T00:00:00" u="1"/>
        <d v="2017-12-15T00:00:00" u="1"/>
        <d v="2013-08-26T00:00:00" u="1"/>
        <d v="2019-12-15T00:00:00" u="1"/>
        <d v="2015-08-26T00:00:00" u="1"/>
        <d v="2020-12-15T00:00:00" u="1"/>
        <d v="2016-08-26T00:00:00" u="1"/>
        <d v="2018-08-26T00:00:00" u="1"/>
        <d v="2019-08-26T00:00:00" u="1"/>
        <d v="2020-08-26T00:00:00" u="1"/>
        <d v="2011-01-05T00:00:00" u="1"/>
        <d v="2013-01-05T00:00:00" u="1"/>
        <d v="2014-01-05T00:00:00" u="1"/>
        <d v="2016-01-05T00:00:00" u="1"/>
        <d v="2017-01-05T00:00:00" u="1"/>
        <d v="2018-01-05T00:00:00" u="1"/>
        <d v="2020-01-05T00:00:00" u="1"/>
        <d v="2021-01-05T00:00:00" u="1"/>
        <d v="2013-09-26T00:00:00" u="1"/>
        <d v="2015-09-26T00:00:00" u="1"/>
        <d v="2016-09-26T00:00:00" u="1"/>
        <d v="2018-09-26T00:00:00" u="1"/>
        <d v="2019-09-26T00:00:00" u="1"/>
        <d v="2020-09-26T00:00:00" u="1"/>
        <d v="2013-02-05T00:00:00" u="1"/>
        <d v="2014-02-05T00:00:00" u="1"/>
        <d v="2017-02-05T00:00:00" u="1"/>
        <d v="2018-02-05T00:00:00" u="1"/>
        <d v="2020-02-05T00:00:00" u="1"/>
        <d v="2021-02-05T00:00:00" u="1"/>
        <d v="2013-10-26T00:00:00" u="1"/>
        <d v="2015-10-26T00:00:00" u="1"/>
        <d v="2016-10-26T00:00:00" u="1"/>
        <d v="2019-10-26T00:00:00" u="1"/>
        <d v="2020-10-26T00:00:00" u="1"/>
        <d v="2014-03-05T00:00:00" u="1"/>
        <d v="2015-03-05T00:00:00" u="1"/>
        <d v="2016-03-05T00:00:00" u="1"/>
        <d v="2018-03-05T00:00:00" u="1"/>
        <d v="2019-03-05T00:00:00" u="1"/>
        <d v="2020-03-05T00:00:00" u="1"/>
        <d v="2021-03-05T00:00:00" u="1"/>
        <d v="2013-11-26T00:00:00" u="1"/>
        <d v="2015-11-26T00:00:00" u="1"/>
        <d v="2016-11-26T00:00:00" u="1"/>
        <d v="2019-11-26T00:00:00" u="1"/>
        <d v="2020-11-26T00:00:00" u="1"/>
        <d v="2012-04-05T00:00:00" u="1"/>
        <d v="2015-04-05T00:00:00" u="1"/>
        <d v="2016-04-05T00:00:00" u="1"/>
        <d v="2018-04-05T00:00:00" u="1"/>
        <d v="2019-04-05T00:00:00" u="1"/>
        <d v="2020-04-05T00:00:00" u="1"/>
        <d v="2011-12-26T00:00:00" u="1"/>
        <d v="2021-04-05T00:00:00" u="1"/>
        <d v="2012-12-26T00:00:00" u="1"/>
        <d v="2013-12-26T00:00:00" u="1"/>
        <d v="2015-12-26T00:00:00" u="1"/>
        <d v="2016-12-26T00:00:00" u="1"/>
        <d v="2017-12-26T00:00:00" u="1"/>
        <d v="2019-12-26T00:00:00" u="1"/>
        <d v="2020-12-26T00:00:00" u="1"/>
        <d v="2013-05-05T00:00:00" u="1"/>
        <d v="2011-01-16T00:00:00" u="1"/>
        <d v="2016-05-05T00:00:00" u="1"/>
        <d v="2013-01-16T00:00:00" u="1"/>
        <d v="2018-05-05T00:00:00" u="1"/>
        <d v="2014-01-16T00:00:00" u="1"/>
        <d v="2019-05-05T00:00:00" u="1"/>
        <d v="2020-05-05T00:00:00" u="1"/>
        <d v="2016-01-16T00:00:00" u="1"/>
        <d v="2017-01-16T00:00:00" u="1"/>
        <d v="2018-01-16T00:00:00" u="1"/>
        <d v="2020-01-16T00:00:00" u="1"/>
        <d v="2021-01-16T00:00:00" u="1"/>
        <d v="2013-06-05T00:00:00" u="1"/>
        <d v="2015-06-05T00:00:00" u="1"/>
        <d v="2016-06-05T00:00:00" u="1"/>
        <d v="2013-02-16T00:00:00" u="1"/>
        <d v="2018-06-05T00:00:00" u="1"/>
        <d v="2014-02-16T00:00:00" u="1"/>
        <d v="2019-06-05T00:00:00" u="1"/>
        <d v="2020-06-05T00:00:00" u="1"/>
        <d v="2017-02-16T00:00:00" u="1"/>
        <d v="2018-02-16T00:00:00" u="1"/>
        <d v="2020-02-16T00:00:00" u="1"/>
        <d v="2021-02-16T00:00:00" u="1"/>
        <d v="2013-07-05T00:00:00" u="1"/>
        <d v="2015-07-05T00:00:00" u="1"/>
        <d v="2017-07-05T00:00:00" u="1"/>
        <d v="2018-07-05T00:00:00" u="1"/>
        <d v="2014-03-16T00:00:00" u="1"/>
        <d v="2019-07-05T00:00:00" u="1"/>
        <d v="2015-03-16T00:00:00" u="1"/>
        <d v="2020-07-05T00:00:00" u="1"/>
        <d v="2016-03-16T00:00:00" u="1"/>
        <d v="2018-03-16T00:00:00" u="1"/>
        <d v="2019-03-16T00:00:00" u="1"/>
        <d v="2020-03-16T00:00:00" u="1"/>
        <d v="2021-03-16T00:00:00" u="1"/>
        <d v="2011-08-05T00:00:00" u="1"/>
        <d v="2013-08-05T00:00:00" u="1"/>
        <d v="2015-08-05T00:00:00" u="1"/>
        <d v="2016-08-05T00:00:00" u="1"/>
        <d v="2012-04-16T00:00:00" u="1"/>
        <d v="2018-08-05T00:00:00" u="1"/>
        <d v="2019-08-05T00:00:00" u="1"/>
        <d v="2015-04-16T00:00:00" u="1"/>
        <d v="2020-08-05T00:00:00" u="1"/>
        <d v="2016-04-16T00:00:00" u="1"/>
        <d v="2018-04-16T00:00:00" u="1"/>
        <d v="2019-04-16T00:00:00" u="1"/>
        <d v="2020-04-16T00:00:00" u="1"/>
        <d v="2021-04-16T00:00:00" u="1"/>
        <d v="2013-09-05T00:00:00" u="1"/>
        <d v="2015-09-05T00:00:00" u="1"/>
        <d v="2016-09-05T00:00:00" u="1"/>
        <d v="2013-05-16T00:00:00" u="1"/>
        <d v="2018-09-05T00:00:00" u="1"/>
        <d v="2019-09-05T00:00:00" u="1"/>
        <d v="2020-09-05T00:00:00" u="1"/>
        <d v="2011-01-27T00:00:00" u="1"/>
        <d v="2016-05-16T00:00:00" u="1"/>
        <d v="2013-01-27T00:00:00" u="1"/>
        <d v="2018-05-16T00:00:00" u="1"/>
        <d v="2014-01-27T00:00:00" u="1"/>
        <d v="2019-05-16T00:00:00" u="1"/>
        <d v="2020-05-16T00:00:00" u="1"/>
        <d v="2016-01-27T00:00:00" u="1"/>
        <d v="2017-01-27T00:00:00" u="1"/>
        <d v="2018-01-27T00:00:00" u="1"/>
        <d v="2020-01-27T00:00:00" u="1"/>
        <d v="2021-01-27T00:00:00" u="1"/>
        <d v="2013-10-05T00:00:00" u="1"/>
        <d v="2015-10-05T00:00:00" u="1"/>
        <d v="2016-10-05T00:00:00" u="1"/>
        <d v="2013-06-16T00:00:00" u="1"/>
        <d v="2019-10-05T00:00:00" u="1"/>
        <d v="2015-06-16T00:00:00" u="1"/>
        <d v="2020-10-05T00:00:00" u="1"/>
        <d v="2016-06-16T00:00:00" u="1"/>
        <d v="2013-02-27T00:00:00" u="1"/>
        <d v="2018-06-16T00:00:00" u="1"/>
        <d v="2014-02-27T00:00:00" u="1"/>
        <d v="2019-06-16T00:00:00" u="1"/>
        <d v="2020-06-16T00:00:00" u="1"/>
        <d v="2017-02-27T00:00:00" u="1"/>
        <d v="2018-02-27T00:00:00" u="1"/>
        <d v="2020-02-27T00:00:00" u="1"/>
        <d v="2021-02-27T00:00:00" u="1"/>
        <d v="2013-11-05T00:00:00" u="1"/>
        <d v="2015-11-05T00:00:00" u="1"/>
        <d v="2016-11-05T00:00:00" u="1"/>
        <d v="2013-07-16T00:00:00" u="1"/>
        <d v="2019-11-05T00:00:00" u="1"/>
        <d v="2015-07-16T00:00:00" u="1"/>
        <d v="2020-11-05T00:00:00" u="1"/>
        <d v="2017-07-16T00:00:00" u="1"/>
        <d v="2018-07-16T00:00:00" u="1"/>
        <d v="2014-03-27T00:00:00" u="1"/>
        <d v="2019-07-16T00:00:00" u="1"/>
        <d v="2015-03-27T00:00:00" u="1"/>
        <d v="2020-07-16T00:00:00" u="1"/>
        <d v="2016-03-27T00:00:00" u="1"/>
        <d v="2018-03-27T00:00:00" u="1"/>
        <d v="2019-03-27T00:00:00" u="1"/>
        <d v="2020-03-27T00:00:00" u="1"/>
        <d v="2021-03-27T00:00:00" u="1"/>
        <d v="2011-12-05T00:00:00" u="1"/>
        <d v="2012-12-05T00:00:00" u="1"/>
        <d v="2013-12-05T00:00:00" u="1"/>
        <d v="2015-12-05T00:00:00" u="1"/>
        <d v="2011-08-16T00:00:00" u="1"/>
        <d v="2016-12-05T00:00:00" u="1"/>
        <d v="2017-12-05T00:00:00" u="1"/>
        <d v="2013-08-16T00:00:00" u="1"/>
        <d v="2019-12-05T00:00:00" u="1"/>
        <d v="2015-08-16T00:00:00" u="1"/>
        <d v="2020-12-05T00:00:00" u="1"/>
        <d v="2016-08-16T00:00:00" u="1"/>
        <d v="2012-04-27T00:00:00" u="1"/>
        <d v="2018-08-16T00:00:00" u="1"/>
        <d v="2019-08-16T00:00:00" u="1"/>
        <d v="2015-04-27T00:00:00" u="1"/>
        <d v="2020-08-16T00:00:00" u="1"/>
        <d v="2016-04-27T00:00:00" u="1"/>
        <d v="2018-04-27T00:00:00" u="1"/>
        <d v="2019-04-27T00:00:00" u="1"/>
        <d v="2020-04-27T00:00:00" u="1"/>
        <d v="2021-04-27T00:00:00" u="1"/>
        <d v="2013-09-16T00:00:00" u="1"/>
        <d v="2015-09-16T00:00:00" u="1"/>
        <d v="2016-09-16T00:00:00" u="1"/>
        <d v="2013-05-27T00:00:00" u="1"/>
        <d v="2018-09-16T00:00:00" u="1"/>
        <d v="2019-09-16T00:00:00" u="1"/>
        <d v="2020-09-16T00:00:00" u="1"/>
        <d v="2016-05-27T00:00:00" u="1"/>
        <d v="2018-05-27T00:00:00" u="1"/>
        <d v="2019-05-27T00:00:00" u="1"/>
        <d v="2020-05-27T00:00:00" u="1"/>
        <d v="2013-10-16T00:00:00" u="1"/>
        <d v="2015-10-16T00:00:00" u="1"/>
        <d v="2016-10-16T00:00:00" u="1"/>
        <d v="2013-06-27T00:00:00" u="1"/>
        <d v="2019-10-16T00:00:00" u="1"/>
        <d v="2015-06-27T00:00:00" u="1"/>
        <d v="2020-10-16T00:00:00" u="1"/>
        <d v="2016-06-27T00:00:00" u="1"/>
        <d v="2018-06-27T00:00:00" u="1"/>
        <d v="2019-06-27T00:00:00" u="1"/>
        <d v="2020-06-27T00:00:00" u="1"/>
        <d v="2011-11-16T00:00:00" u="1"/>
        <d v="2013-11-16T00:00:00" u="1"/>
        <d v="2015-11-16T00:00:00" u="1"/>
        <d v="2016-11-16T00:00:00" u="1"/>
        <d v="2013-07-27T00:00:00" u="1"/>
        <d v="2019-11-16T00:00:00" u="1"/>
        <d v="2015-07-27T00:00:00" u="1"/>
        <d v="2020-11-16T00:00:00" u="1"/>
        <d v="2017-07-27T00:00:00" u="1"/>
        <d v="2018-07-27T00:00:00" u="1"/>
        <d v="2019-07-27T00:00:00" u="1"/>
        <d v="2020-07-27T00:00:00" u="1"/>
        <d v="2011-12-16T00:00:00" u="1"/>
        <d v="2012-12-16T00:00:00" u="1"/>
        <d v="2013-12-16T00:00:00" u="1"/>
        <d v="2015-12-16T00:00:00" u="1"/>
        <d v="2011-08-27T00:00:00" u="1"/>
        <d v="2016-12-16T00:00:00" u="1"/>
        <d v="2017-12-16T00:00:00" u="1"/>
        <d v="2013-08-27T00:00:00" u="1"/>
        <d v="2019-12-16T00:00:00" u="1"/>
        <d v="2015-08-27T00:00:00" u="1"/>
        <d v="2020-12-16T00:00:00" u="1"/>
        <d v="2016-08-27T00:00:00" u="1"/>
        <d v="2018-08-27T00:00:00" u="1"/>
        <d v="2019-08-27T00:00:00" u="1"/>
        <d v="2020-08-27T00:00:00" u="1"/>
        <d v="2011-01-06T00:00:00" u="1"/>
        <d v="2013-01-06T00:00:00" u="1"/>
        <d v="2014-01-06T00:00:00" u="1"/>
        <d v="2016-01-06T00:00:00" u="1"/>
        <d v="2017-01-06T00:00:00" u="1"/>
        <d v="2018-01-06T00:00:00" u="1"/>
        <d v="2020-01-06T00:00:00" u="1"/>
        <d v="2021-01-06T00:00:00" u="1"/>
        <d v="2013-09-27T00:00:00" u="1"/>
        <d v="2015-09-27T00:00:00" u="1"/>
        <d v="2016-09-27T00:00:00" u="1"/>
        <d v="2018-09-27T00:00:00" u="1"/>
        <d v="2019-09-27T00:00:00" u="1"/>
        <d v="2020-09-27T00:00:00" u="1"/>
        <d v="2013-02-06T00:00:00" u="1"/>
        <d v="2014-02-06T00:00:00" u="1"/>
        <d v="2017-02-06T00:00:00" u="1"/>
        <d v="2018-02-06T00:00:00" u="1"/>
        <d v="2020-02-06T00:00:00" u="1"/>
        <d v="2021-02-06T00:00:00" u="1"/>
        <d v="2013-10-27T00:00:00" u="1"/>
        <d v="2015-10-27T00:00:00" u="1"/>
        <d v="2016-10-27T00:00:00" u="1"/>
        <d v="2019-10-27T00:00:00" u="1"/>
        <d v="2020-10-27T00:00:00" u="1"/>
        <d v="2014-03-06T00:00:00" u="1"/>
        <d v="2015-03-06T00:00:00" u="1"/>
        <d v="2016-03-06T00:00:00" u="1"/>
        <d v="2018-03-06T00:00:00" u="1"/>
        <d v="2019-03-06T00:00:00" u="1"/>
        <d v="2020-03-06T00:00:00" u="1"/>
        <d v="2021-03-06T00:00:00" u="1"/>
        <d v="2013-11-27T00:00:00" u="1"/>
        <d v="2015-11-27T00:00:00" u="1"/>
        <d v="2016-11-27T00:00:00" u="1"/>
        <d v="2019-11-27T00:00:00" u="1"/>
        <d v="2020-11-27T00:00:00" u="1"/>
        <d v="2012-04-06T00:00:00" u="1"/>
        <d v="2015-04-06T00:00:00" u="1"/>
        <d v="2016-04-06T00:00:00" u="1"/>
        <d v="2018-04-06T00:00:00" u="1"/>
        <d v="2019-04-06T00:00:00" u="1"/>
        <d v="2020-04-06T00:00:00" u="1"/>
        <d v="2011-12-27T00:00:00" u="1"/>
        <d v="2021-04-06T00:00:00" u="1"/>
        <d v="2012-12-27T00:00:00" u="1"/>
        <d v="2013-12-27T00:00:00" u="1"/>
        <d v="2015-12-27T00:00:00" u="1"/>
        <d v="2016-12-27T00:00:00" u="1"/>
        <d v="2017-12-27T00:00:00" u="1"/>
        <d v="2019-12-27T00:00:00" u="1"/>
        <d v="2020-12-27T00:00:00" u="1"/>
        <d v="2013-05-06T00:00:00" u="1"/>
        <d v="2011-01-17T00:00:00" u="1"/>
        <d v="2016-05-06T00:00:00" u="1"/>
        <d v="2013-01-17T00:00:00" u="1"/>
        <d v="2018-05-06T00:00:00" u="1"/>
        <d v="2014-01-17T00:00:00" u="1"/>
        <d v="2019-05-06T00:00:00" u="1"/>
        <d v="2020-05-06T00:00:00" u="1"/>
        <d v="2016-01-17T00:00:00" u="1"/>
        <d v="2017-01-17T00:00:00" u="1"/>
        <d v="2018-01-17T00:00:00" u="1"/>
        <d v="2020-01-17T00:00:00" u="1"/>
        <d v="2021-01-17T00:00:00" u="1"/>
        <d v="2013-06-06T00:00:00" u="1"/>
        <d v="2015-06-06T00:00:00" u="1"/>
        <d v="2016-06-06T00:00:00" u="1"/>
        <d v="2013-02-17T00:00:00" u="1"/>
        <d v="2018-06-06T00:00:00" u="1"/>
        <d v="2014-02-17T00:00:00" u="1"/>
        <d v="2019-06-06T00:00:00" u="1"/>
        <d v="2020-06-06T00:00:00" u="1"/>
        <d v="2017-02-17T00:00:00" u="1"/>
        <d v="2018-02-17T00:00:00" u="1"/>
        <d v="2020-02-17T00:00:00" u="1"/>
        <d v="2021-02-17T00:00:00" u="1"/>
        <d v="2013-07-06T00:00:00" u="1"/>
        <d v="2015-07-06T00:00:00" u="1"/>
        <d v="2017-07-06T00:00:00" u="1"/>
        <d v="2018-07-06T00:00:00" u="1"/>
        <d v="2014-03-17T00:00:00" u="1"/>
        <d v="2019-07-06T00:00:00" u="1"/>
        <d v="2015-03-17T00:00:00" u="1"/>
        <d v="2020-07-06T00:00:00" u="1"/>
        <d v="2016-03-17T00:00:00" u="1"/>
        <d v="2018-03-17T00:00:00" u="1"/>
        <d v="2019-03-17T00:00:00" u="1"/>
        <d v="2020-03-17T00:00:00" u="1"/>
        <d v="2021-03-17T00:00:00" u="1"/>
        <d v="2011-08-06T00:00:00" u="1"/>
        <d v="2013-08-06T00:00:00" u="1"/>
        <d v="2015-08-06T00:00:00" u="1"/>
        <d v="2016-08-06T00:00:00" u="1"/>
        <d v="2012-04-17T00:00:00" u="1"/>
        <d v="2018-08-06T00:00:00" u="1"/>
        <d v="2019-08-06T00:00:00" u="1"/>
        <d v="2015-04-17T00:00:00" u="1"/>
        <d v="2020-08-06T00:00:00" u="1"/>
        <d v="2016-04-17T00:00:00" u="1"/>
        <d v="2018-04-17T00:00:00" u="1"/>
        <d v="2019-04-17T00:00:00" u="1"/>
        <d v="2020-04-17T00:00:00" u="1"/>
        <d v="2021-04-17T00:00:00" u="1"/>
        <d v="2013-09-06T00:00:00" u="1"/>
        <d v="2015-09-06T00:00:00" u="1"/>
        <d v="2016-09-06T00:00:00" u="1"/>
        <d v="2013-05-17T00:00:00" u="1"/>
        <d v="2018-09-06T00:00:00" u="1"/>
        <d v="2019-09-06T00:00:00" u="1"/>
        <d v="2020-09-06T00:00:00" u="1"/>
        <d v="2011-01-28T00:00:00" u="1"/>
        <d v="2016-05-17T00:00:00" u="1"/>
        <d v="2013-01-28T00:00:00" u="1"/>
        <d v="2018-05-17T00:00:00" u="1"/>
        <d v="2014-01-28T00:00:00" u="1"/>
        <d v="2019-05-17T00:00:00" u="1"/>
        <d v="2020-05-17T00:00:00" u="1"/>
        <d v="2016-01-28T00:00:00" u="1"/>
        <d v="2017-01-28T00:00:00" u="1"/>
        <d v="2018-01-28T00:00:00" u="1"/>
        <d v="2020-01-28T00:00:00" u="1"/>
        <d v="2021-01-28T00:00:00" u="1"/>
        <d v="2013-10-06T00:00:00" u="1"/>
        <d v="2015-10-06T00:00:00" u="1"/>
        <d v="2016-10-06T00:00:00" u="1"/>
        <d v="2013-06-17T00:00:00" u="1"/>
        <d v="2019-10-06T00:00:00" u="1"/>
        <d v="2015-06-17T00:00:00" u="1"/>
        <d v="2020-10-06T00:00:00" u="1"/>
        <d v="2016-06-17T00:00:00" u="1"/>
        <d v="2013-02-28T00:00:00" u="1"/>
        <d v="2018-06-17T00:00:00" u="1"/>
        <d v="2014-02-28T00:00:00" u="1"/>
        <d v="2019-06-17T00:00:00" u="1"/>
        <d v="2020-06-17T00:00:00" u="1"/>
        <d v="2017-02-28T00:00:00" u="1"/>
        <d v="2018-02-28T00:00:00" u="1"/>
        <d v="2020-02-28T00:00:00" u="1"/>
        <d v="2021-02-28T00:00:00" u="1"/>
        <d v="2013-11-06T00:00:00" u="1"/>
        <d v="2015-11-06T00:00:00" u="1"/>
        <d v="2016-11-06T00:00:00" u="1"/>
        <d v="2013-07-17T00:00:00" u="1"/>
        <d v="2019-11-06T00:00:00" u="1"/>
        <d v="2015-07-17T00:00:00" u="1"/>
        <d v="2020-11-06T00:00:00" u="1"/>
        <d v="2017-07-17T00:00:00" u="1"/>
        <d v="2018-07-17T00:00:00" u="1"/>
        <d v="2014-03-28T00:00:00" u="1"/>
        <d v="2019-07-17T00:00:00" u="1"/>
        <d v="2015-03-28T00:00:00" u="1"/>
        <d v="2020-07-17T00:00:00" u="1"/>
        <d v="2016-03-28T00:00:00" u="1"/>
        <d v="2018-03-28T00:00:00" u="1"/>
        <d v="2019-03-28T00:00:00" u="1"/>
        <d v="2020-03-28T00:00:00" u="1"/>
        <d v="2021-03-28T00:00:00" u="1"/>
        <d v="2011-12-06T00:00:00" u="1"/>
        <d v="2012-12-06T00:00:00" u="1"/>
        <d v="2013-12-06T00:00:00" u="1"/>
        <d v="2015-12-06T00:00:00" u="1"/>
        <d v="2011-08-17T00:00:00" u="1"/>
        <d v="2016-12-06T00:00:00" u="1"/>
        <d v="2017-12-06T00:00:00" u="1"/>
        <d v="2013-08-17T00:00:00" u="1"/>
        <d v="2019-12-06T00:00:00" u="1"/>
        <d v="2015-08-17T00:00:00" u="1"/>
        <d v="2020-12-06T00:00:00" u="1"/>
        <d v="2016-08-17T00:00:00" u="1"/>
        <d v="2012-04-28T00:00:00" u="1"/>
        <d v="2018-08-17T00:00:00" u="1"/>
        <d v="2019-08-17T00:00:00" u="1"/>
        <d v="2015-04-28T00:00:00" u="1"/>
        <d v="2020-08-17T00:00:00" u="1"/>
        <d v="2016-04-28T00:00:00" u="1"/>
        <d v="2018-04-28T00:00:00" u="1"/>
        <d v="2019-04-28T00:00:00" u="1"/>
        <d v="2020-04-28T00:00:00" u="1"/>
        <d v="2021-04-28T00:00:00" u="1"/>
        <d v="2013-09-17T00:00:00" u="1"/>
        <d v="2015-09-17T00:00:00" u="1"/>
        <d v="2016-09-17T00:00:00" u="1"/>
        <d v="2013-05-28T00:00:00" u="1"/>
        <d v="2018-09-17T00:00:00" u="1"/>
        <d v="2019-09-17T00:00:00" u="1"/>
        <d v="2020-09-17T00:00:00" u="1"/>
        <d v="2016-05-28T00:00:00" u="1"/>
        <d v="2018-05-28T00:00:00" u="1"/>
        <d v="2019-05-28T00:00:00" u="1"/>
        <d v="2020-05-28T00:00:00" u="1"/>
        <d v="2013-10-17T00:00:00" u="1"/>
        <d v="2015-10-17T00:00:00" u="1"/>
        <d v="2016-10-17T00:00:00" u="1"/>
        <d v="2013-06-28T00:00:00" u="1"/>
        <d v="2019-10-17T00:00:00" u="1"/>
        <d v="2015-06-28T00:00:00" u="1"/>
        <d v="2020-10-17T00:00:00" u="1"/>
        <d v="2016-06-28T00:00:00" u="1"/>
        <d v="2018-06-28T00:00:00" u="1"/>
        <d v="2019-06-28T00:00:00" u="1"/>
        <d v="2020-06-28T00:00:00" u="1"/>
        <d v="2011-11-17T00:00:00" u="1"/>
        <d v="2013-11-17T00:00:00" u="1"/>
        <d v="2015-11-17T00:00:00" u="1"/>
        <d v="2016-11-17T00:00:00" u="1"/>
        <d v="2013-07-28T00:00:00" u="1"/>
        <d v="2019-11-17T00:00:00" u="1"/>
        <d v="2015-07-28T00:00:00" u="1"/>
        <d v="2020-11-17T00:00:00" u="1"/>
        <d v="2017-07-28T00:00:00" u="1"/>
        <d v="2018-07-28T00:00:00" u="1"/>
        <d v="2019-07-28T00:00:00" u="1"/>
        <d v="2020-07-28T00:00:00" u="1"/>
        <d v="2012-12-17T00:00:00" u="1"/>
        <d v="2013-12-17T00:00:00" u="1"/>
        <d v="2015-12-17T00:00:00" u="1"/>
        <d v="2011-08-28T00:00:00" u="1"/>
        <d v="2016-12-17T00:00:00" u="1"/>
        <d v="2017-12-17T00:00:00" u="1"/>
        <d v="2013-08-28T00:00:00" u="1"/>
        <d v="2019-12-17T00:00:00" u="1"/>
        <d v="2015-08-28T00:00:00" u="1"/>
        <d v="2020-12-17T00:00:00" u="1"/>
        <d v="2016-08-28T00:00:00" u="1"/>
        <d v="2018-08-28T00:00:00" u="1"/>
        <d v="2019-08-28T00:00:00" u="1"/>
        <d v="2020-08-28T00:00:00" u="1"/>
        <d v="2011-01-07T00:00:00" u="1"/>
        <d v="2013-01-07T00:00:00" u="1"/>
        <d v="2014-01-07T00:00:00" u="1"/>
        <d v="2016-01-07T00:00:00" u="1"/>
        <d v="2017-01-07T00:00:00" u="1"/>
        <d v="2018-01-07T00:00:00" u="1"/>
        <d v="2020-01-07T00:00:00" u="1"/>
        <d v="2021-01-07T00:00:00" u="1"/>
        <d v="2013-09-28T00:00:00" u="1"/>
        <d v="2015-09-28T00:00:00" u="1"/>
        <d v="2016-09-28T00:00:00" u="1"/>
        <d v="2018-09-28T00:00:00" u="1"/>
        <d v="2019-09-28T00:00:00" u="1"/>
        <d v="2020-09-28T00:00:00" u="1"/>
        <d v="2013-02-07T00:00:00" u="1"/>
        <d v="2014-02-07T00:00:00" u="1"/>
        <d v="2017-02-07T00:00:00" u="1"/>
        <d v="2018-02-07T00:00:00" u="1"/>
        <d v="2020-02-07T00:00:00" u="1"/>
        <d v="2021-02-07T00:00:00" u="1"/>
        <d v="2013-10-28T00:00:00" u="1"/>
        <d v="2015-10-28T00:00:00" u="1"/>
        <d v="2016-10-28T00:00:00" u="1"/>
        <d v="2019-10-28T00:00:00" u="1"/>
        <d v="2020-10-28T00:00:00" u="1"/>
        <d v="2014-03-07T00:00:00" u="1"/>
        <d v="2015-03-07T00:00:00" u="1"/>
        <d v="2016-03-07T00:00:00" u="1"/>
        <d v="2018-03-07T00:00:00" u="1"/>
        <d v="2019-03-07T00:00:00" u="1"/>
        <d v="2020-03-07T00:00:00" u="1"/>
        <d v="2011-11-28T00:00:00" u="1"/>
        <d v="2021-03-07T00:00:00" u="1"/>
        <d v="2013-11-28T00:00:00" u="1"/>
        <d v="2015-11-28T00:00:00" u="1"/>
        <d v="2016-11-28T00:00:00" u="1"/>
        <d v="2019-11-28T00:00:00" u="1"/>
        <d v="2020-11-28T00:00:00" u="1"/>
        <d v="2012-04-07T00:00:00" u="1"/>
        <d v="2015-04-07T00:00:00" u="1"/>
        <d v="2016-04-07T00:00:00" u="1"/>
        <d v="2018-04-07T00:00:00" u="1"/>
        <d v="2019-04-07T00:00:00" u="1"/>
        <d v="2020-04-07T00:00:00" u="1"/>
        <d v="2011-12-28T00:00:00" u="1"/>
        <d v="2021-04-07T00:00:00" u="1"/>
        <d v="2012-12-28T00:00:00" u="1"/>
        <d v="2013-12-28T00:00:00" u="1"/>
        <d v="2015-12-28T00:00:00" u="1"/>
        <d v="2016-12-28T00:00:00" u="1"/>
        <d v="2017-12-28T00:00:00" u="1"/>
        <d v="2019-12-28T00:00:00" u="1"/>
        <d v="2020-12-28T00:00:00" u="1"/>
        <d v="2013-05-07T00:00:00" u="1"/>
        <d v="2011-01-18T00:00:00" u="1"/>
        <d v="2016-05-07T00:00:00" u="1"/>
        <d v="2013-01-18T00:00:00" u="1"/>
        <d v="2018-05-07T00:00:00" u="1"/>
        <d v="2014-01-18T00:00:00" u="1"/>
        <d v="2019-05-07T00:00:00" u="1"/>
        <d v="2020-05-07T00:00:00" u="1"/>
        <d v="2016-01-18T00:00:00" u="1"/>
        <d v="2017-01-18T00:00:00" u="1"/>
        <d v="2018-01-18T00:00:00" u="1"/>
        <d v="2020-01-18T00:00:00" u="1"/>
        <d v="2021-01-18T00:00:00" u="1"/>
        <d v="2013-06-07T00:00:00" u="1"/>
        <d v="2015-06-07T00:00:00" u="1"/>
        <d v="2016-06-07T00:00:00" u="1"/>
        <d v="2013-02-18T00:00:00" u="1"/>
        <d v="2018-06-07T00:00:00" u="1"/>
        <d v="2014-02-18T00:00:00" u="1"/>
        <d v="2019-06-07T00:00:00" u="1"/>
        <d v="2020-06-07T00:00:00" u="1"/>
        <d v="2017-02-18T00:00:00" u="1"/>
        <d v="2018-02-18T00:00:00" u="1"/>
        <d v="2020-02-18T00:00:00" u="1"/>
        <d v="2021-02-18T00:00:00" u="1"/>
        <d v="2013-07-07T00:00:00" u="1"/>
        <d v="2015-07-07T00:00:00" u="1"/>
        <d v="2017-07-07T00:00:00" u="1"/>
        <d v="2018-07-07T00:00:00" u="1"/>
        <d v="2014-03-18T00:00:00" u="1"/>
        <d v="2019-07-07T00:00:00" u="1"/>
        <d v="2015-03-18T00:00:00" u="1"/>
        <d v="2020-07-07T00:00:00" u="1"/>
        <d v="2016-03-18T00:00:00" u="1"/>
        <d v="2018-03-18T00:00:00" u="1"/>
        <d v="2019-03-18T00:00:00" u="1"/>
        <d v="2020-03-18T00:00:00" u="1"/>
        <d v="2021-03-18T00:00:00" u="1"/>
        <d v="2011-08-07T00:00:00" u="1"/>
        <d v="2013-08-07T00:00:00" u="1"/>
        <d v="2015-08-07T00:00:00" u="1"/>
        <d v="2016-08-07T00:00:00" u="1"/>
        <d v="2012-04-18T00:00:00" u="1"/>
        <d v="2018-08-07T00:00:00" u="1"/>
        <d v="2019-08-07T00:00:00" u="1"/>
        <d v="2015-04-18T00:00:00" u="1"/>
        <d v="2020-08-07T00:00:00" u="1"/>
        <d v="2016-04-18T00:00:00" u="1"/>
        <d v="2018-04-18T00:00:00" u="1"/>
        <d v="2019-04-18T00:00:00" u="1"/>
        <d v="2020-04-18T00:00:00" u="1"/>
        <d v="2021-04-18T00:00:00" u="1"/>
        <d v="2013-09-07T00:00:00" u="1"/>
        <d v="2015-09-07T00:00:00" u="1"/>
        <d v="2016-09-07T00:00:00" u="1"/>
        <d v="2013-05-18T00:00:00" u="1"/>
        <d v="2018-09-07T00:00:00" u="1"/>
        <d v="2019-09-07T00:00:00" u="1"/>
        <d v="2020-09-07T00:00:00" u="1"/>
        <d v="2011-01-29T00:00:00" u="1"/>
        <d v="2016-05-18T00:00:00" u="1"/>
        <d v="2013-01-29T00:00:00" u="1"/>
        <d v="2018-05-18T00:00:00" u="1"/>
        <d v="2014-01-29T00:00:00" u="1"/>
        <d v="2019-05-18T00:00:00" u="1"/>
        <d v="2020-05-18T00:00:00" u="1"/>
        <d v="2016-01-29T00:00:00" u="1"/>
        <d v="2017-01-29T00:00:00" u="1"/>
        <d v="2018-01-29T00:00:00" u="1"/>
        <d v="2020-01-29T00:00:00" u="1"/>
        <d v="2021-01-29T00:00:00" u="1"/>
        <d v="2013-10-07T00:00:00" u="1"/>
        <d v="2015-10-07T00:00:00" u="1"/>
        <d v="2016-10-07T00:00:00" u="1"/>
        <d v="2013-06-18T00:00:00" u="1"/>
        <d v="2019-10-07T00:00:00" u="1"/>
        <d v="2015-06-18T00:00:00" u="1"/>
        <d v="2020-10-07T00:00:00" u="1"/>
        <d v="2016-06-18T00:00:00" u="1"/>
        <d v="2018-06-18T00:00:00" u="1"/>
        <d v="2019-06-18T00:00:00" u="1"/>
        <d v="2020-06-18T00:00:00" u="1"/>
        <d v="2020-02-29T00:00:00" u="1"/>
        <d v="2011-11-07T00:00:00" u="1"/>
        <d v="2013-11-07T00:00:00" u="1"/>
        <d v="2015-11-07T00:00:00" u="1"/>
        <d v="2016-11-07T00:00:00" u="1"/>
        <d v="2013-07-18T00:00:00" u="1"/>
        <d v="2019-11-07T00:00:00" u="1"/>
        <d v="2015-07-18T00:00:00" u="1"/>
        <d v="2020-11-07T00:00:00" u="1"/>
        <d v="2017-07-18T00:00:00" u="1"/>
        <d v="2018-07-18T00:00:00" u="1"/>
        <d v="2014-03-29T00:00:00" u="1"/>
        <d v="2019-07-18T00:00:00" u="1"/>
        <d v="2015-03-29T00:00:00" u="1"/>
        <d v="2020-07-18T00:00:00" u="1"/>
        <d v="2016-03-29T00:00:00" u="1"/>
        <d v="2018-03-29T00:00:00" u="1"/>
        <d v="2019-03-29T00:00:00" u="1"/>
        <d v="2020-03-29T00:00:00" u="1"/>
        <d v="2021-03-29T00:00:00" u="1"/>
        <d v="2011-12-07T00:00:00" u="1"/>
        <d v="2012-12-07T00:00:00" u="1"/>
        <d v="2013-12-07T00:00:00" u="1"/>
        <d v="2015-12-07T00:00:00" u="1"/>
        <d v="2011-08-18T00:00:00" u="1"/>
        <d v="2016-12-07T00:00:00" u="1"/>
        <d v="2017-12-07T00:00:00" u="1"/>
        <d v="2013-08-18T00:00:00" u="1"/>
        <d v="2019-12-07T00:00:00" u="1"/>
        <d v="2015-08-18T00:00:00" u="1"/>
        <d v="2020-12-07T00:00:00" u="1"/>
        <d v="2016-08-18T00:00:00" u="1"/>
        <d v="2012-04-29T00:00:00" u="1"/>
        <d v="2018-08-18T00:00:00" u="1"/>
        <d v="2019-08-18T00:00:00" u="1"/>
        <d v="2015-04-29T00:00:00" u="1"/>
        <d v="2020-08-18T00:00:00" u="1"/>
        <d v="2016-04-29T00:00:00" u="1"/>
        <d v="2018-04-29T00:00:00" u="1"/>
        <d v="2019-04-29T00:00:00" u="1"/>
        <d v="2020-04-29T00:00:00" u="1"/>
        <d v="2021-04-29T00:00:00" u="1"/>
        <d v="2015-09-18T00:00:00" u="1"/>
        <d v="2016-09-18T00:00:00" u="1"/>
        <d v="2013-05-29T00:00:00" u="1"/>
        <d v="2018-09-18T00:00:00" u="1"/>
        <d v="2019-09-18T00:00:00" u="1"/>
        <d v="2020-09-18T00:00:00" u="1"/>
        <d v="2016-05-29T00:00:00" u="1"/>
        <d v="2018-05-29T00:00:00" u="1"/>
        <d v="2019-05-29T00:00:00" u="1"/>
        <d v="2020-05-29T00:00:00" u="1"/>
        <d v="2013-10-18T00:00:00" u="1"/>
        <d v="2015-10-18T00:00:00" u="1"/>
        <d v="2016-10-18T00:00:00" u="1"/>
        <d v="2013-06-29T00:00:00" u="1"/>
        <d v="2019-10-18T00:00:00" u="1"/>
        <d v="2015-06-29T00:00:00" u="1"/>
        <d v="2020-10-18T00:00:00" u="1"/>
        <d v="2016-06-29T00:00:00" u="1"/>
        <d v="2018-06-29T00:00:00" u="1"/>
        <d v="2019-06-29T00:00:00" u="1"/>
        <d v="2020-06-29T00:00:00" u="1"/>
        <d v="2011-11-18T00:00:00" u="1"/>
        <d v="2013-11-18T00:00:00" u="1"/>
        <d v="2015-11-18T00:00:00" u="1"/>
        <d v="2016-11-18T00:00:00" u="1"/>
        <d v="2013-07-29T00:00:00" u="1"/>
        <d v="2019-11-18T00:00:00" u="1"/>
        <d v="2015-07-29T00:00:00" u="1"/>
        <d v="2020-11-18T00:00:00" u="1"/>
        <d v="2017-07-29T00:00:00" u="1"/>
        <d v="2018-07-29T00:00:00" u="1"/>
        <d v="2019-07-29T00:00:00" u="1"/>
        <d v="2020-07-29T00:00:00" u="1"/>
        <d v="2012-12-18T00:00:00" u="1"/>
        <d v="2013-12-18T00:00:00" u="1"/>
        <d v="2015-12-18T00:00:00" u="1"/>
        <d v="2011-08-29T00:00:00" u="1"/>
        <d v="2016-12-18T00:00:00" u="1"/>
        <d v="2017-12-18T00:00:00" u="1"/>
        <d v="2013-08-29T00:00:00" u="1"/>
        <d v="2019-12-18T00:00:00" u="1"/>
        <d v="2015-08-29T00:00:00" u="1"/>
        <d v="2020-12-18T00:00:00" u="1"/>
        <d v="2016-08-29T00:00:00" u="1"/>
        <d v="2018-08-29T00:00:00" u="1"/>
        <d v="2019-08-29T00:00:00" u="1"/>
        <d v="2020-08-29T00:00:00" u="1"/>
        <d v="2011-01-08T00:00:00" u="1"/>
        <d v="2013-01-08T00:00:00" u="1"/>
        <d v="2014-01-08T00:00:00" u="1"/>
        <d v="2016-01-08T00:00:00" u="1"/>
        <d v="2017-01-08T00:00:00" u="1"/>
        <d v="2018-01-08T00:00:00" u="1"/>
        <d v="2020-01-08T00:00:00" u="1"/>
        <d v="2021-01-08T00:00:00" u="1"/>
        <d v="2013-09-29T00:00:00" u="1"/>
        <d v="2015-09-29T00:00:00" u="1"/>
        <d v="2016-09-29T00:00:00" u="1"/>
        <d v="2018-09-29T00:00:00" u="1"/>
        <d v="2019-09-29T00:00:00" u="1"/>
        <d v="2020-09-29T00:00:00" u="1"/>
        <d v="2013-02-08T00:00:00" u="1"/>
        <d v="2014-02-08T00:00:00" u="1"/>
        <d v="2017-02-08T00:00:00" u="1"/>
        <d v="2018-02-08T00:00:00" u="1"/>
        <d v="2020-02-08T00:00:00" u="1"/>
        <d v="2021-02-08T00:00:00" u="1"/>
        <d v="2013-10-29T00:00:00" u="1"/>
        <d v="2015-10-29T00:00:00" u="1"/>
        <d v="2016-10-29T00:00:00" u="1"/>
        <d v="2019-10-29T00:00:00" u="1"/>
        <d v="2020-10-29T00:00:00" u="1"/>
        <d v="2014-03-08T00:00:00" u="1"/>
        <d v="2015-03-08T00:00:00" u="1"/>
        <d v="2016-03-08T00:00:00" u="1"/>
        <d v="2018-03-08T00:00:00" u="1"/>
        <d v="2019-03-08T00:00:00" u="1"/>
        <d v="2020-03-08T00:00:00" u="1"/>
        <d v="2011-11-29T00:00:00" u="1"/>
        <d v="2021-03-08T00:00:00" u="1"/>
        <d v="2013-11-29T00:00:00" u="1"/>
        <d v="2015-11-29T00:00:00" u="1"/>
        <d v="2016-11-29T00:00:00" u="1"/>
        <d v="2019-11-29T00:00:00" u="1"/>
        <d v="2020-11-29T00:00:00" u="1"/>
        <d v="2012-04-08T00:00:00" u="1"/>
        <d v="2015-04-08T00:00:00" u="1"/>
        <d v="2016-04-08T00:00:00" u="1"/>
        <d v="2018-04-08T00:00:00" u="1"/>
        <d v="2019-04-08T00:00:00" u="1"/>
        <d v="2020-04-08T00:00:00" u="1"/>
        <d v="2011-12-29T00:00:00" u="1"/>
        <d v="2021-04-08T00:00:00" u="1"/>
        <d v="2012-12-29T00:00:00" u="1"/>
        <d v="2013-12-29T00:00:00" u="1"/>
        <d v="2015-12-29T00:00:00" u="1"/>
        <d v="2016-12-29T00:00:00" u="1"/>
        <d v="2017-12-29T00:00:00" u="1"/>
        <d v="2019-12-29T00:00:00" u="1"/>
        <d v="2020-12-29T00:00:00" u="1"/>
        <d v="2013-05-08T00:00:00" u="1"/>
        <d v="2011-01-19T00:00:00" u="1"/>
        <d v="2016-05-08T00:00:00" u="1"/>
        <d v="2013-01-19T00:00:00" u="1"/>
        <d v="2018-05-08T00:00:00" u="1"/>
        <d v="2014-01-19T00:00:00" u="1"/>
        <d v="2019-05-08T00:00:00" u="1"/>
        <d v="2020-05-08T00:00:00" u="1"/>
        <d v="2016-01-19T00:00:00" u="1"/>
        <d v="2017-01-19T00:00:00" u="1"/>
        <d v="2018-01-19T00:00:00" u="1"/>
        <d v="2020-01-19T00:00:00" u="1"/>
        <d v="2021-01-19T00:00:00" u="1"/>
        <d v="2013-06-08T00:00:00" u="1"/>
        <d v="2015-06-08T00:00:00" u="1"/>
        <d v="2016-06-08T00:00:00" u="1"/>
        <d v="2013-02-19T00:00:00" u="1"/>
        <d v="2018-06-08T00:00:00" u="1"/>
        <d v="2014-02-19T00:00:00" u="1"/>
        <d v="2019-06-08T00:00:00" u="1"/>
        <d v="2020-06-08T00:00:00" u="1"/>
        <d v="2017-02-19T00:00:00" u="1"/>
        <d v="2018-02-19T00:00:00" u="1"/>
        <d v="2020-02-19T00:00:00" u="1"/>
        <d v="2021-02-19T00:00:00" u="1"/>
        <d v="2013-07-08T00:00:00" u="1"/>
        <d v="2015-07-08T00:00:00" u="1"/>
        <d v="2017-07-08T00:00:00" u="1"/>
        <d v="2018-07-08T00:00:00" u="1"/>
        <d v="2014-03-19T00:00:00" u="1"/>
        <d v="2019-07-08T00:00:00" u="1"/>
        <d v="2015-03-19T00:00:00" u="1"/>
        <d v="2020-07-08T00:00:00" u="1"/>
        <d v="2016-03-19T00:00:00" u="1"/>
        <d v="2018-03-19T00:00:00" u="1"/>
        <d v="2019-03-19T00:00:00" u="1"/>
        <d v="2020-03-19T00:00:00" u="1"/>
        <d v="2021-03-19T00:00:00" u="1"/>
        <d v="2011-08-08T00:00:00" u="1"/>
        <d v="2013-08-08T00:00:00" u="1"/>
        <d v="2015-08-08T00:00:00" u="1"/>
        <d v="2016-08-08T00:00:00" u="1"/>
        <d v="2012-04-19T00:00:00" u="1"/>
        <d v="2018-08-08T00:00:00" u="1"/>
        <d v="2019-08-08T00:00:00" u="1"/>
        <d v="2015-04-19T00:00:00" u="1"/>
        <d v="2020-08-08T00:00:00" u="1"/>
        <d v="2016-04-19T00:00:00" u="1"/>
        <d v="2018-04-19T00:00:00" u="1"/>
        <d v="2019-04-19T00:00:00" u="1"/>
        <d v="2020-04-19T00:00:00" u="1"/>
        <d v="2021-04-19T00:00:00" u="1"/>
        <d v="2013-09-08T00:00:00" u="1"/>
        <d v="2015-09-08T00:00:00" u="1"/>
        <d v="2016-09-08T00:00:00" u="1"/>
        <d v="2013-05-19T00:00:00" u="1"/>
        <d v="2018-09-08T00:00:00" u="1"/>
        <d v="2019-09-08T00:00:00" u="1"/>
        <d v="2020-09-08T00:00:00" u="1"/>
        <d v="2011-01-30T00:00:00" u="1"/>
        <d v="2016-05-19T00:00:00" u="1"/>
        <d v="2013-01-30T00:00:00" u="1"/>
        <d v="2018-05-19T00:00:00" u="1"/>
        <d v="2014-01-30T00:00:00" u="1"/>
        <d v="2019-05-19T00:00:00" u="1"/>
        <d v="2020-05-19T00:00:00" u="1"/>
        <d v="2016-01-30T00:00:00" u="1"/>
        <d v="2017-01-30T00:00:00" u="1"/>
        <d v="2018-01-30T00:00:00" u="1"/>
        <d v="2020-01-30T00:00:00" u="1"/>
        <d v="2021-01-30T00:00:00" u="1"/>
        <d v="2013-10-08T00:00:00" u="1"/>
        <d v="2015-10-08T00:00:00" u="1"/>
        <d v="2016-10-08T00:00:00" u="1"/>
        <d v="2013-06-19T00:00:00" u="1"/>
        <d v="2019-10-08T00:00:00" u="1"/>
        <d v="2015-06-19T00:00:00" u="1"/>
        <d v="2020-10-08T00:00:00" u="1"/>
        <d v="2016-06-19T00:00:00" u="1"/>
        <d v="2018-06-19T00:00:00" u="1"/>
        <d v="2019-06-19T00:00:00" u="1"/>
        <d v="2020-06-19T00:00:00" u="1"/>
        <d v="2011-11-08T00:00:00" u="1"/>
        <d v="2013-11-08T00:00:00" u="1"/>
        <d v="2015-11-08T00:00:00" u="1"/>
        <d v="2016-11-08T00:00:00" u="1"/>
        <d v="2013-07-19T00:00:00" u="1"/>
        <d v="2019-11-08T00:00:00" u="1"/>
        <d v="2015-07-19T00:00:00" u="1"/>
        <d v="2020-11-08T00:00:00" u="1"/>
        <d v="2017-07-19T00:00:00" u="1"/>
        <d v="2018-07-19T00:00:00" u="1"/>
        <d v="2014-03-30T00:00:00" u="1"/>
        <d v="2019-07-19T00:00:00" u="1"/>
        <d v="2015-03-30T00:00:00" u="1"/>
        <d v="2020-07-19T00:00:00" u="1"/>
        <d v="2016-03-30T00:00:00" u="1"/>
        <d v="2018-03-30T00:00:00" u="1"/>
        <d v="2019-03-30T00:00:00" u="1"/>
        <d v="2020-03-30T00:00:00" u="1"/>
        <d v="2021-03-30T00:00:00" u="1"/>
        <d v="2012-12-08T00:00:00" u="1"/>
        <d v="2013-12-08T00:00:00" u="1"/>
        <d v="2015-12-08T00:00:00" u="1"/>
        <d v="2011-08-19T00:00:00" u="1"/>
        <d v="2016-12-08T00:00:00" u="1"/>
        <d v="2017-12-08T00:00:00" u="1"/>
        <d v="2013-08-19T00:00:00" u="1"/>
        <d v="2019-12-08T00:00:00" u="1"/>
        <d v="2015-08-19T00:00:00" u="1"/>
        <d v="2020-12-08T00:00:00" u="1"/>
        <d v="2016-08-19T00:00:00" u="1"/>
        <d v="2012-04-30T00:00:00" u="1"/>
        <d v="2018-08-19T00:00:00" u="1"/>
        <d v="2019-08-19T00:00:00" u="1"/>
        <d v="2015-04-30T00:00:00" u="1"/>
        <d v="2020-08-19T00:00:00" u="1"/>
        <d v="2016-04-30T00:00:00" u="1"/>
        <d v="2018-04-30T00:00:00" u="1"/>
        <d v="2019-04-30T00:00:00" u="1"/>
        <d v="2020-04-30T00:00:00" u="1"/>
        <d v="2021-04-30T00:00:00" u="1"/>
      </sharedItems>
    </cacheField>
    <cacheField name="Z" numFmtId="0">
      <sharedItems containsString="0" containsBlank="1" containsNumber="1" containsInteger="1" minValue="0" maxValue="0"/>
    </cacheField>
    <cacheField name="Boletas" numFmtId="0">
      <sharedItems containsNonDate="0" containsString="0" containsBlank="1"/>
    </cacheField>
    <cacheField name="Mont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409.85227152778" createdVersion="3" refreshedVersion="7" recordCount="208" xr:uid="{00000000-000A-0000-FFFF-FFFF01000000}">
  <cacheSource type="worksheet">
    <worksheetSource ref="A3:B211" sheet="Retiros"/>
  </cacheSource>
  <cacheFields count="2">
    <cacheField name="Fecha" numFmtId="0">
      <sharedItems containsNonDate="0" containsDate="1" containsString="0" containsBlank="1" minDate="1899-12-30T00:00:00" maxDate="2069-08-10T00:00:00" count="2242">
        <m/>
        <d v="2015-09-19T00:00:00" u="1"/>
        <d v="2016-09-19T00:00:00" u="1"/>
        <d v="2013-05-30T00:00:00" u="1"/>
        <d v="2019-09-19T00:00:00" u="1"/>
        <d v="2020-09-19T00:00:00" u="1"/>
        <d v="2016-05-30T00:00:00" u="1"/>
        <d v="2019-05-30T00:00:00" u="1"/>
        <d v="2020-05-30T00:00:00" u="1"/>
        <d v="2013-10-19T00:00:00" u="1"/>
        <d v="2015-10-19T00:00:00" u="1"/>
        <d v="2016-10-19T00:00:00" u="1"/>
        <d v="2019-10-19T00:00:00" u="1"/>
        <d v="2015-06-30T00:00:00" u="1"/>
        <d v="2020-10-19T00:00:00" u="1"/>
        <d v="2016-06-30T00:00:00" u="1"/>
        <d v="2018-06-30T00:00:00" u="1"/>
        <d v="2019-06-30T00:00:00" u="1"/>
        <d v="2020-06-30T00:00:00" u="1"/>
        <d v="2013-11-19T00:00:00" u="1"/>
        <d v="2015-11-19T00:00:00" u="1"/>
        <d v="2016-11-19T00:00:00" u="1"/>
        <d v="2013-07-30T00:00:00" u="1"/>
        <d v="2019-11-19T00:00:00" u="1"/>
        <d v="2015-07-30T00:00:00" u="1"/>
        <d v="2020-11-19T00:00:00" u="1"/>
        <d v="2017-07-30T00:00:00" u="1"/>
        <d v="2018-07-30T00:00:00" u="1"/>
        <d v="2019-07-30T00:00:00" u="1"/>
        <d v="2020-07-30T00:00:00" u="1"/>
        <d v="2011-12-19T00:00:00" u="1"/>
        <d v="2012-12-19T00:00:00" u="1"/>
        <d v="2013-12-19T00:00:00" u="1"/>
        <d v="2015-12-19T00:00:00" u="1"/>
        <d v="2011-08-30T00:00:00" u="1"/>
        <d v="2016-12-19T00:00:00" u="1"/>
        <d v="2017-12-19T00:00:00" u="1"/>
        <d v="2013-08-30T00:00:00" u="1"/>
        <d v="2019-12-19T00:00:00" u="1"/>
        <d v="2015-08-30T00:00:00" u="1"/>
        <d v="2020-12-19T00:00:00" u="1"/>
        <d v="2016-08-30T00:00:00" u="1"/>
        <d v="2018-08-30T00:00:00" u="1"/>
        <d v="2019-08-30T00:00:00" u="1"/>
        <d v="2020-08-30T00:00:00" u="1"/>
        <d v="2011-01-09T00:00:00" u="1"/>
        <d v="2013-01-09T00:00:00" u="1"/>
        <d v="2014-01-09T00:00:00" u="1"/>
        <d v="2016-01-09T00:00:00" u="1"/>
        <d v="2017-01-09T00:00:00" u="1"/>
        <d v="2018-01-09T00:00:00" u="1"/>
        <d v="2020-01-09T00:00:00" u="1"/>
        <d v="2021-01-09T00:00:00" u="1"/>
        <d v="2013-09-30T00:00:00" u="1"/>
        <d v="2015-09-30T00:00:00" u="1"/>
        <d v="2016-09-30T00:00:00" u="1"/>
        <d v="2019-09-30T00:00:00" u="1"/>
        <d v="2020-09-30T00:00:00" u="1"/>
        <d v="2013-02-09T00:00:00" u="1"/>
        <d v="2014-02-09T00:00:00" u="1"/>
        <d v="2016-02-09T00:00:00" u="1"/>
        <d v="2017-02-09T00:00:00" u="1"/>
        <d v="2020-02-09T00:00:00" u="1"/>
        <d v="2021-02-09T00:00:00" u="1"/>
        <d v="2013-10-30T00:00:00" u="1"/>
        <d v="2015-10-30T00:00:00" u="1"/>
        <d v="2019-10-30T00:00:00" u="1"/>
        <d v="2020-10-30T00:00:00" u="1"/>
        <d v="2014-03-09T00:00:00" u="1"/>
        <d v="2016-03-09T00:00:00" u="1"/>
        <d v="2018-03-09T00:00:00" u="1"/>
        <d v="2019-03-09T00:00:00" u="1"/>
        <d v="2020-03-09T00:00:00" u="1"/>
        <d v="2011-11-30T00:00:00" u="1"/>
        <d v="2021-03-09T00:00:00" u="1"/>
        <d v="2013-11-30T00:00:00" u="1"/>
        <d v="2015-11-30T00:00:00" u="1"/>
        <d v="2019-11-30T00:00:00" u="1"/>
        <d v="2020-11-30T00:00:00" u="1"/>
        <d v="2012-04-09T00:00:00" u="1"/>
        <d v="2015-04-09T00:00:00" u="1"/>
        <d v="2016-04-09T00:00:00" u="1"/>
        <d v="2018-04-09T00:00:00" u="1"/>
        <d v="2019-04-09T00:00:00" u="1"/>
        <d v="2020-04-09T00:00:00" u="1"/>
        <d v="2011-12-30T00:00:00" u="1"/>
        <d v="2021-04-09T00:00:00" u="1"/>
        <d v="2012-12-30T00:00:00" u="1"/>
        <d v="2013-12-30T00:00:00" u="1"/>
        <d v="2015-12-30T00:00:00" u="1"/>
        <d v="2016-12-30T00:00:00" u="1"/>
        <d v="2017-12-30T00:00:00" u="1"/>
        <d v="2019-12-30T00:00:00" u="1"/>
        <d v="2020-12-30T00:00:00" u="1"/>
        <d v="2013-05-09T00:00:00" u="1"/>
        <d v="2011-01-20T00:00:00" u="1"/>
        <d v="2016-05-09T00:00:00" u="1"/>
        <d v="2013-01-20T00:00:00" u="1"/>
        <d v="2018-05-09T00:00:00" u="1"/>
        <d v="2014-01-20T00:00:00" u="1"/>
        <d v="2019-05-09T00:00:00" u="1"/>
        <d v="2020-05-09T00:00:00" u="1"/>
        <d v="2016-01-20T00:00:00" u="1"/>
        <d v="2017-01-20T00:00:00" u="1"/>
        <d v="2018-01-20T00:00:00" u="1"/>
        <d v="2020-01-20T00:00:00" u="1"/>
        <d v="2021-01-20T00:00:00" u="1"/>
        <d v="2013-06-09T00:00:00" u="1"/>
        <d v="2015-06-09T00:00:00" u="1"/>
        <d v="2016-06-09T00:00:00" u="1"/>
        <d v="2013-02-20T00:00:00" u="1"/>
        <d v="2018-06-09T00:00:00" u="1"/>
        <d v="2014-02-20T00:00:00" u="1"/>
        <d v="2019-06-09T00:00:00" u="1"/>
        <d v="2020-06-09T00:00:00" u="1"/>
        <d v="2016-02-20T00:00:00" u="1"/>
        <d v="2017-02-20T00:00:00" u="1"/>
        <d v="2020-02-20T00:00:00" u="1"/>
        <d v="2021-02-20T00:00:00" u="1"/>
        <d v="2013-07-09T00:00:00" u="1"/>
        <d v="2015-07-09T00:00:00" u="1"/>
        <d v="2016-07-09T00:00:00" u="1"/>
        <d v="2017-07-09T00:00:00" u="1"/>
        <d v="2018-07-09T00:00:00" u="1"/>
        <d v="2014-03-20T00:00:00" u="1"/>
        <d v="2019-07-09T00:00:00" u="1"/>
        <d v="2020-07-09T00:00:00" u="1"/>
        <d v="2016-03-20T00:00:00" u="1"/>
        <d v="2019-03-20T00:00:00" u="1"/>
        <d v="2020-03-20T00:00:00" u="1"/>
        <d v="2009-08-09T00:00:00" u="1"/>
        <d v="2011-08-09T00:00:00" u="1"/>
        <d v="2013-08-09T00:00:00" u="1"/>
        <d v="2015-08-09T00:00:00" u="1"/>
        <d v="2016-08-09T00:00:00" u="1"/>
        <d v="2012-04-20T00:00:00" u="1"/>
        <d v="2018-08-09T00:00:00" u="1"/>
        <d v="2019-08-09T00:00:00" u="1"/>
        <d v="2015-04-20T00:00:00" u="1"/>
        <d v="2020-08-09T00:00:00" u="1"/>
        <d v="2016-04-20T00:00:00" u="1"/>
        <d v="2019-04-20T00:00:00" u="1"/>
        <d v="2020-04-20T00:00:00" u="1"/>
        <d v="2029-08-09T00:00:00" u="1"/>
        <d v="2039-08-09T00:00:00" u="1"/>
        <d v="2049-08-09T00:00:00" u="1"/>
        <d v="2059-08-09T00:00:00" u="1"/>
        <d v="2069-08-09T00:00:00" u="1"/>
        <d v="2013-09-09T00:00:00" u="1"/>
        <d v="2015-09-09T00:00:00" u="1"/>
        <d v="2016-09-09T00:00:00" u="1"/>
        <d v="2013-05-20T00:00:00" u="1"/>
        <d v="2019-09-09T00:00:00" u="1"/>
        <d v="2020-09-09T00:00:00" u="1"/>
        <d v="2011-01-31T00:00:00" u="1"/>
        <d v="2016-05-20T00:00:00" u="1"/>
        <d v="2013-01-31T00:00:00" u="1"/>
        <d v="2014-01-31T00:00:00" u="1"/>
        <d v="2019-05-20T00:00:00" u="1"/>
        <d v="2020-05-20T00:00:00" u="1"/>
        <d v="2016-01-31T00:00:00" u="1"/>
        <d v="2021-05-20T00:00:00" u="1"/>
        <d v="2017-01-31T00:00:00" u="1"/>
        <d v="2018-01-31T00:00:00" u="1"/>
        <d v="2020-01-31T00:00:00" u="1"/>
        <d v="2021-01-31T00:00:00" u="1"/>
        <d v="2013-10-09T00:00:00" u="1"/>
        <d v="2015-10-09T00:00:00" u="1"/>
        <d v="2016-10-09T00:00:00" u="1"/>
        <d v="2013-06-20T00:00:00" u="1"/>
        <d v="2019-10-09T00:00:00" u="1"/>
        <d v="2015-06-20T00:00:00" u="1"/>
        <d v="2020-10-09T00:00:00" u="1"/>
        <d v="2016-06-20T00:00:00" u="1"/>
        <d v="2018-06-20T00:00:00" u="1"/>
        <d v="2019-06-20T00:00:00" u="1"/>
        <d v="2020-06-20T00:00:00" u="1"/>
        <d v="2011-11-09T00:00:00" u="1"/>
        <d v="2013-11-09T00:00:00" u="1"/>
        <d v="2015-11-09T00:00:00" u="1"/>
        <d v="2016-11-09T00:00:00" u="1"/>
        <d v="2013-07-20T00:00:00" u="1"/>
        <d v="2019-11-09T00:00:00" u="1"/>
        <d v="2015-07-20T00:00:00" u="1"/>
        <d v="2020-11-09T00:00:00" u="1"/>
        <d v="2016-07-20T00:00:00" u="1"/>
        <d v="2017-07-20T00:00:00" u="1"/>
        <d v="2018-07-20T00:00:00" u="1"/>
        <d v="2019-07-20T00:00:00" u="1"/>
        <d v="2020-07-20T00:00:00" u="1"/>
        <d v="2016-03-31T00:00:00" u="1"/>
        <d v="2019-03-31T00:00:00" u="1"/>
        <d v="2011-12-09T00:00:00" u="1"/>
        <d v="2012-12-09T00:00:00" u="1"/>
        <d v="2013-12-09T00:00:00" u="1"/>
        <d v="2015-12-09T00:00:00" u="1"/>
        <d v="2011-08-20T00:00:00" u="1"/>
        <d v="2016-12-09T00:00:00" u="1"/>
        <d v="2017-12-09T00:00:00" u="1"/>
        <d v="2013-08-20T00:00:00" u="1"/>
        <d v="2019-12-09T00:00:00" u="1"/>
        <d v="2015-08-20T00:00:00" u="1"/>
        <d v="2020-12-09T00:00:00" u="1"/>
        <d v="2016-08-20T00:00:00" u="1"/>
        <d v="2018-08-20T00:00:00" u="1"/>
        <d v="2019-08-20T00:00:00" u="1"/>
        <d v="2020-08-20T00:00:00" u="1"/>
        <d v="2015-09-20T00:00:00" u="1"/>
        <d v="2016-09-20T00:00:00" u="1"/>
        <d v="2013-05-31T00:00:00" u="1"/>
        <d v="2019-09-20T00:00:00" u="1"/>
        <d v="2020-09-20T00:00:00" u="1"/>
        <d v="2016-05-31T00:00:00" u="1"/>
        <d v="2019-05-31T00:00:00" u="1"/>
        <d v="2020-05-31T00:00:00" u="1"/>
        <d v="2013-10-20T00:00:00" u="1"/>
        <d v="2015-10-20T00:00:00" u="1"/>
        <d v="2016-10-20T00:00:00" u="1"/>
        <d v="2019-10-20T00:00:00" u="1"/>
        <d v="2020-10-20T00:00:00" u="1"/>
        <d v="2013-11-20T00:00:00" u="1"/>
        <d v="2015-11-20T00:00:00" u="1"/>
        <d v="2016-11-20T00:00:00" u="1"/>
        <d v="2013-07-31T00:00:00" u="1"/>
        <d v="2019-11-20T00:00:00" u="1"/>
        <d v="2015-07-31T00:00:00" u="1"/>
        <d v="2020-11-20T00:00:00" u="1"/>
        <d v="2017-07-31T00:00:00" u="1"/>
        <d v="2018-07-31T00:00:00" u="1"/>
        <d v="2019-07-31T00:00:00" u="1"/>
        <d v="2020-07-31T00:00:00" u="1"/>
        <d v="2011-12-20T00:00:00" u="1"/>
        <d v="2012-12-20T00:00:00" u="1"/>
        <d v="2013-12-20T00:00:00" u="1"/>
        <d v="2015-12-20T00:00:00" u="1"/>
        <d v="2011-08-31T00:00:00" u="1"/>
        <d v="2016-12-20T00:00:00" u="1"/>
        <d v="2017-12-20T00:00:00" u="1"/>
        <d v="2013-08-31T00:00:00" u="1"/>
        <d v="2019-12-20T00:00:00" u="1"/>
        <d v="2015-08-31T00:00:00" u="1"/>
        <d v="2020-12-20T00:00:00" u="1"/>
        <d v="2016-08-31T00:00:00" u="1"/>
        <d v="2018-08-31T00:00:00" u="1"/>
        <d v="2019-08-31T00:00:00" u="1"/>
        <d v="2020-08-31T00:00:00" u="1"/>
        <d v="2011-01-10T00:00:00" u="1"/>
        <d v="2013-01-10T00:00:00" u="1"/>
        <d v="2014-01-10T00:00:00" u="1"/>
        <d v="2016-01-10T00:00:00" u="1"/>
        <d v="2017-01-10T00:00:00" u="1"/>
        <d v="2018-01-10T00:00:00" u="1"/>
        <d v="2020-01-10T00:00:00" u="1"/>
        <d v="2021-01-10T00:00:00" u="1"/>
        <d v="2013-02-10T00:00:00" u="1"/>
        <d v="2014-02-10T00:00:00" u="1"/>
        <d v="2016-02-10T00:00:00" u="1"/>
        <d v="2017-02-10T00:00:00" u="1"/>
        <d v="2020-02-10T00:00:00" u="1"/>
        <d v="2021-02-10T00:00:00" u="1"/>
        <d v="2013-10-31T00:00:00" u="1"/>
        <d v="2015-10-31T00:00:00" u="1"/>
        <d v="2019-10-31T00:00:00" u="1"/>
        <d v="2020-10-31T00:00:00" u="1"/>
        <d v="2014-03-10T00:00:00" u="1"/>
        <d v="2016-03-10T00:00:00" u="1"/>
        <d v="2018-03-10T00:00:00" u="1"/>
        <d v="2019-03-10T00:00:00" u="1"/>
        <d v="2020-03-10T00:00:00" u="1"/>
        <d v="2021-03-10T00:00:00" u="1"/>
        <d v="1915-01-21T00:00:00" u="1"/>
        <d v="2012-04-10T00:00:00" u="1"/>
        <d v="2015-04-10T00:00:00" u="1"/>
        <d v="2016-04-10T00:00:00" u="1"/>
        <d v="2018-04-10T00:00:00" u="1"/>
        <d v="2019-04-10T00:00:00" u="1"/>
        <d v="2020-04-10T00:00:00" u="1"/>
        <d v="2021-04-10T00:00:00" u="1"/>
        <d v="2012-12-31T00:00:00" u="1"/>
        <d v="2013-12-31T00:00:00" u="1"/>
        <d v="2015-12-31T00:00:00" u="1"/>
        <d v="2019-12-31T00:00:00" u="1"/>
        <d v="2020-12-31T00:00:00" u="1"/>
        <d v="2010-05-10T00:00:00" u="1"/>
        <d v="2013-05-10T00:00:00" u="1"/>
        <d v="2011-01-21T00:00:00" u="1"/>
        <d v="2016-05-10T00:00:00" u="1"/>
        <d v="2013-01-21T00:00:00" u="1"/>
        <d v="2018-05-10T00:00:00" u="1"/>
        <d v="2014-01-21T00:00:00" u="1"/>
        <d v="2019-05-10T00:00:00" u="1"/>
        <d v="2020-05-10T00:00:00" u="1"/>
        <d v="2016-01-21T00:00:00" u="1"/>
        <d v="2017-01-21T00:00:00" u="1"/>
        <d v="2018-01-21T00:00:00" u="1"/>
        <d v="2020-01-21T00:00:00" u="1"/>
        <d v="2021-01-21T00:00:00" u="1"/>
        <d v="2013-06-10T00:00:00" u="1"/>
        <d v="2015-06-10T00:00:00" u="1"/>
        <d v="2016-06-10T00:00:00" u="1"/>
        <d v="2012-02-21T00:00:00" u="1"/>
        <d v="2013-02-21T00:00:00" u="1"/>
        <d v="2018-06-10T00:00:00" u="1"/>
        <d v="2014-02-21T00:00:00" u="1"/>
        <d v="2019-06-10T00:00:00" u="1"/>
        <d v="2020-06-10T00:00:00" u="1"/>
        <d v="2016-02-21T00:00:00" u="1"/>
        <d v="2017-02-21T00:00:00" u="1"/>
        <d v="2019-02-21T00:00:00" u="1"/>
        <d v="2020-02-21T00:00:00" u="1"/>
        <d v="2021-02-21T00:00:00" u="1"/>
        <d v="2013-07-10T00:00:00" u="1"/>
        <d v="2015-07-10T00:00:00" u="1"/>
        <d v="2016-07-10T00:00:00" u="1"/>
        <d v="2017-07-10T00:00:00" u="1"/>
        <d v="2018-07-10T00:00:00" u="1"/>
        <d v="2014-03-21T00:00:00" u="1"/>
        <d v="2019-07-10T00:00:00" u="1"/>
        <d v="2020-07-10T00:00:00" u="1"/>
        <d v="2016-03-21T00:00:00" u="1"/>
        <d v="2019-03-21T00:00:00" u="1"/>
        <d v="2020-03-21T00:00:00" u="1"/>
        <d v="2011-08-10T00:00:00" u="1"/>
        <d v="2013-08-10T00:00:00" u="1"/>
        <d v="2015-08-10T00:00:00" u="1"/>
        <d v="2016-08-10T00:00:00" u="1"/>
        <d v="2012-04-21T00:00:00" u="1"/>
        <d v="2018-08-10T00:00:00" u="1"/>
        <d v="2019-08-10T00:00:00" u="1"/>
        <d v="2015-04-21T00:00:00" u="1"/>
        <d v="2020-08-10T00:00:00" u="1"/>
        <d v="2016-04-21T00:00:00" u="1"/>
        <d v="2019-04-21T00:00:00" u="1"/>
        <d v="2020-04-21T00:00:00" u="1"/>
        <d v="2021-04-21T00:00:00" u="1"/>
        <d v="2013-09-10T00:00:00" u="1"/>
        <d v="2015-09-10T00:00:00" u="1"/>
        <d v="2016-09-10T00:00:00" u="1"/>
        <d v="2013-05-21T00:00:00" u="1"/>
        <d v="2019-09-10T00:00:00" u="1"/>
        <d v="2020-09-10T00:00:00" u="1"/>
        <d v="2016-05-21T00:00:00" u="1"/>
        <d v="2019-05-21T00:00:00" u="1"/>
        <d v="2020-05-21T00:00:00" u="1"/>
        <d v="2021-05-21T00:00:00" u="1"/>
        <d v="2013-10-10T00:00:00" u="1"/>
        <d v="2015-10-10T00:00:00" u="1"/>
        <d v="2016-10-10T00:00:00" u="1"/>
        <d v="2013-06-21T00:00:00" u="1"/>
        <d v="2019-10-10T00:00:00" u="1"/>
        <d v="2015-06-21T00:00:00" u="1"/>
        <d v="2020-10-10T00:00:00" u="1"/>
        <d v="2016-06-21T00:00:00" u="1"/>
        <d v="2018-06-21T00:00:00" u="1"/>
        <d v="2019-06-21T00:00:00" u="1"/>
        <d v="2020-06-21T00:00:00" u="1"/>
        <d v="2011-11-10T00:00:00" u="1"/>
        <d v="2013-11-10T00:00:00" u="1"/>
        <d v="2015-11-10T00:00:00" u="1"/>
        <d v="2016-11-10T00:00:00" u="1"/>
        <d v="2013-07-21T00:00:00" u="1"/>
        <d v="2019-11-10T00:00:00" u="1"/>
        <d v="2015-07-21T00:00:00" u="1"/>
        <d v="2020-11-10T00:00:00" u="1"/>
        <d v="2016-07-21T00:00:00" u="1"/>
        <d v="2017-07-21T00:00:00" u="1"/>
        <d v="1899-12-30T00:00:00" u="1"/>
        <d v="2018-07-21T00:00:00" u="1"/>
        <d v="2019-07-21T00:00:00" u="1"/>
        <d v="2020-07-21T00:00:00" u="1"/>
        <d v="2012-12-10T00:00:00" u="1"/>
        <d v="2013-12-10T00:00:00" u="1"/>
        <d v="2015-12-10T00:00:00" u="1"/>
        <d v="2011-08-21T00:00:00" u="1"/>
        <d v="2016-12-10T00:00:00" u="1"/>
        <d v="2017-12-10T00:00:00" u="1"/>
        <d v="2013-08-21T00:00:00" u="1"/>
        <d v="2019-12-10T00:00:00" u="1"/>
        <d v="2015-08-21T00:00:00" u="1"/>
        <d v="2020-12-10T00:00:00" u="1"/>
        <d v="2016-08-21T00:00:00" u="1"/>
        <d v="2021-12-10T00:00:00" u="1"/>
        <d v="2018-08-21T00:00:00" u="1"/>
        <d v="2019-08-21T00:00:00" u="1"/>
        <d v="2020-08-21T00:00:00" u="1"/>
        <d v="2013-09-21T00:00:00" u="1"/>
        <d v="2015-09-21T00:00:00" u="1"/>
        <d v="2016-09-21T00:00:00" u="1"/>
        <d v="2019-09-21T00:00:00" u="1"/>
        <d v="2020-09-21T00:00:00" u="1"/>
        <d v="2013-10-21T00:00:00" u="1"/>
        <d v="2015-10-21T00:00:00" u="1"/>
        <d v="2016-10-21T00:00:00" u="1"/>
        <d v="2019-10-21T00:00:00" u="1"/>
        <d v="2020-10-21T00:00:00" u="1"/>
        <d v="2011-11-21T00:00:00" u="1"/>
        <d v="2013-11-21T00:00:00" u="1"/>
        <d v="2015-11-21T00:00:00" u="1"/>
        <d v="2016-11-21T00:00:00" u="1"/>
        <d v="2019-11-21T00:00:00" u="1"/>
        <d v="2020-11-21T00:00:00" u="1"/>
        <d v="2011-12-21T00:00:00" u="1"/>
        <d v="2012-12-21T00:00:00" u="1"/>
        <d v="2013-12-21T00:00:00" u="1"/>
        <d v="2015-12-21T00:00:00" u="1"/>
        <d v="2016-12-21T00:00:00" u="1"/>
        <d v="2017-12-21T00:00:00" u="1"/>
        <d v="2019-12-21T00:00:00" u="1"/>
        <d v="2020-12-21T00:00:00" u="1"/>
        <d v="2011-01-11T00:00:00" u="1"/>
        <d v="2013-01-11T00:00:00" u="1"/>
        <d v="2014-01-11T00:00:00" u="1"/>
        <d v="2016-01-11T00:00:00" u="1"/>
        <d v="2017-01-11T00:00:00" u="1"/>
        <d v="2018-01-11T00:00:00" u="1"/>
        <d v="2020-01-11T00:00:00" u="1"/>
        <d v="2021-01-11T00:00:00" u="1"/>
        <d v="2013-02-11T00:00:00" u="1"/>
        <d v="2014-02-11T00:00:00" u="1"/>
        <d v="2016-02-11T00:00:00" u="1"/>
        <d v="2017-02-11T00:00:00" u="1"/>
        <d v="2019-02-11T00:00:00" u="1"/>
        <d v="2020-02-11T00:00:00" u="1"/>
        <d v="2021-02-11T00:00:00" u="1"/>
        <d v="2014-03-11T00:00:00" u="1"/>
        <d v="2016-03-11T00:00:00" u="1"/>
        <d v="2018-03-11T00:00:00" u="1"/>
        <d v="2019-03-11T00:00:00" u="1"/>
        <d v="2021-03-11T00:00:00" u="1"/>
        <d v="2012-04-11T00:00:00" u="1"/>
        <d v="2015-04-11T00:00:00" u="1"/>
        <d v="2016-04-11T00:00:00" u="1"/>
        <d v="2018-04-11T00:00:00" u="1"/>
        <d v="2019-04-11T00:00:00" u="1"/>
        <d v="2020-04-11T00:00:00" u="1"/>
        <d v="2021-04-11T00:00:00" u="1"/>
        <d v="2013-05-11T00:00:00" u="1"/>
        <d v="2011-01-22T00:00:00" u="1"/>
        <d v="2016-05-11T00:00:00" u="1"/>
        <d v="2013-01-22T00:00:00" u="1"/>
        <d v="2018-05-11T00:00:00" u="1"/>
        <d v="2014-01-22T00:00:00" u="1"/>
        <d v="2019-05-11T00:00:00" u="1"/>
        <d v="2020-05-11T00:00:00" u="1"/>
        <d v="2016-01-22T00:00:00" u="1"/>
        <d v="2017-01-22T00:00:00" u="1"/>
        <d v="2018-01-22T00:00:00" u="1"/>
        <d v="2020-01-22T00:00:00" u="1"/>
        <d v="2021-01-22T00:00:00" u="1"/>
        <d v="2013-06-11T00:00:00" u="1"/>
        <d v="2015-06-11T00:00:00" u="1"/>
        <d v="2016-06-11T00:00:00" u="1"/>
        <d v="2013-02-22T00:00:00" u="1"/>
        <d v="2018-06-11T00:00:00" u="1"/>
        <d v="2014-02-22T00:00:00" u="1"/>
        <d v="2019-06-11T00:00:00" u="1"/>
        <d v="2020-06-11T00:00:00" u="1"/>
        <d v="2016-02-22T00:00:00" u="1"/>
        <d v="2017-02-22T00:00:00" u="1"/>
        <d v="2020-02-22T00:00:00" u="1"/>
        <d v="2021-02-22T00:00:00" u="1"/>
        <d v="2013-07-11T00:00:00" u="1"/>
        <d v="2015-07-11T00:00:00" u="1"/>
        <d v="2016-07-11T00:00:00" u="1"/>
        <d v="2017-07-11T00:00:00" u="1"/>
        <d v="2018-07-11T00:00:00" u="1"/>
        <d v="2014-03-22T00:00:00" u="1"/>
        <d v="2019-07-11T00:00:00" u="1"/>
        <d v="2020-07-11T00:00:00" u="1"/>
        <d v="2016-03-22T00:00:00" u="1"/>
        <d v="2019-03-22T00:00:00" u="1"/>
        <d v="2020-03-22T00:00:00" u="1"/>
        <d v="2011-08-11T00:00:00" u="1"/>
        <d v="2013-08-11T00:00:00" u="1"/>
        <d v="2015-08-11T00:00:00" u="1"/>
        <d v="2016-08-11T00:00:00" u="1"/>
        <d v="2012-04-22T00:00:00" u="1"/>
        <d v="2018-08-11T00:00:00" u="1"/>
        <d v="2019-08-11T00:00:00" u="1"/>
        <d v="2015-04-22T00:00:00" u="1"/>
        <d v="2020-08-11T00:00:00" u="1"/>
        <d v="2016-04-22T00:00:00" u="1"/>
        <d v="2019-04-22T00:00:00" u="1"/>
        <d v="2020-04-22T00:00:00" u="1"/>
        <d v="2021-04-22T00:00:00" u="1"/>
        <d v="1900-06-22T00:00:00" u="1"/>
        <d v="2013-09-11T00:00:00" u="1"/>
        <d v="2015-09-11T00:00:00" u="1"/>
        <d v="2016-09-11T00:00:00" u="1"/>
        <d v="2013-05-22T00:00:00" u="1"/>
        <d v="2019-09-11T00:00:00" u="1"/>
        <d v="2020-09-11T00:00:00" u="1"/>
        <d v="2016-05-22T00:00:00" u="1"/>
        <d v="2019-05-22T00:00:00" u="1"/>
        <d v="2020-05-22T00:00:00" u="1"/>
        <d v="2013-10-11T00:00:00" u="1"/>
        <d v="2015-10-11T00:00:00" u="1"/>
        <d v="2016-10-11T00:00:00" u="1"/>
        <d v="2013-06-22T00:00:00" u="1"/>
        <d v="2019-10-11T00:00:00" u="1"/>
        <d v="2015-06-22T00:00:00" u="1"/>
        <d v="2020-10-11T00:00:00" u="1"/>
        <d v="2016-06-22T00:00:00" u="1"/>
        <d v="2018-06-22T00:00:00" u="1"/>
        <d v="2019-06-22T00:00:00" u="1"/>
        <d v="2020-06-22T00:00:00" u="1"/>
        <d v="2011-11-11T00:00:00" u="1"/>
        <d v="2013-11-11T00:00:00" u="1"/>
        <d v="2015-11-11T00:00:00" u="1"/>
        <d v="2016-11-11T00:00:00" u="1"/>
        <d v="2013-07-22T00:00:00" u="1"/>
        <d v="2018-11-11T00:00:00" u="1"/>
        <d v="2019-11-11T00:00:00" u="1"/>
        <d v="2015-07-22T00:00:00" u="1"/>
        <d v="2020-11-11T00:00:00" u="1"/>
        <d v="2016-07-22T00:00:00" u="1"/>
        <d v="2017-07-22T00:00:00" u="1"/>
        <d v="2018-07-22T00:00:00" u="1"/>
        <d v="2019-07-22T00:00:00" u="1"/>
        <d v="2020-07-22T00:00:00" u="1"/>
        <d v="2012-12-11T00:00:00" u="1"/>
        <d v="2013-12-11T00:00:00" u="1"/>
        <d v="2015-12-11T00:00:00" u="1"/>
        <d v="2011-08-22T00:00:00" u="1"/>
        <d v="2016-12-11T00:00:00" u="1"/>
        <d v="2017-12-11T00:00:00" u="1"/>
        <d v="2013-08-22T00:00:00" u="1"/>
        <d v="2019-12-11T00:00:00" u="1"/>
        <d v="2015-08-22T00:00:00" u="1"/>
        <d v="2020-12-11T00:00:00" u="1"/>
        <d v="2016-08-22T00:00:00" u="1"/>
        <d v="2021-12-11T00:00:00" u="1"/>
        <d v="2018-08-22T00:00:00" u="1"/>
        <d v="2019-08-22T00:00:00" u="1"/>
        <d v="2020-08-22T00:00:00" u="1"/>
        <d v="2011-01-01T00:00:00" u="1"/>
        <d v="2014-01-01T00:00:00" u="1"/>
        <d v="2016-01-01T00:00:00" u="1"/>
        <d v="2017-01-01T00:00:00" u="1"/>
        <d v="2018-01-01T00:00:00" u="1"/>
        <d v="2021-01-01T00:00:00" u="1"/>
        <d v="2013-09-22T00:00:00" u="1"/>
        <d v="2015-09-22T00:00:00" u="1"/>
        <d v="2016-09-22T00:00:00" u="1"/>
        <d v="2019-09-22T00:00:00" u="1"/>
        <d v="2020-09-22T00:00:00" u="1"/>
        <d v="2011-02-01T00:00:00" u="1"/>
        <d v="2013-02-01T00:00:00" u="1"/>
        <d v="2014-02-01T00:00:00" u="1"/>
        <d v="2016-02-01T00:00:00" u="1"/>
        <d v="2017-02-01T00:00:00" u="1"/>
        <d v="2018-02-01T00:00:00" u="1"/>
        <d v="2020-02-01T00:00:00" u="1"/>
        <d v="2021-02-01T00:00:00" u="1"/>
        <d v="2013-10-22T00:00:00" u="1"/>
        <d v="2015-10-22T00:00:00" u="1"/>
        <d v="2016-10-22T00:00:00" u="1"/>
        <d v="2019-10-22T00:00:00" u="1"/>
        <d v="2020-10-22T00:00:00" u="1"/>
        <d v="2013-03-01T00:00:00" u="1"/>
        <d v="2014-03-01T00:00:00" u="1"/>
        <d v="2015-03-01T00:00:00" u="1"/>
        <d v="2016-03-01T00:00:00" u="1"/>
        <d v="2018-03-01T00:00:00" u="1"/>
        <d v="2019-03-01T00:00:00" u="1"/>
        <d v="2020-03-01T00:00:00" u="1"/>
        <d v="2011-11-22T00:00:00" u="1"/>
        <d v="2021-03-01T00:00:00" u="1"/>
        <d v="2013-11-22T00:00:00" u="1"/>
        <d v="2015-11-22T00:00:00" u="1"/>
        <d v="2016-11-22T00:00:00" u="1"/>
        <d v="2019-11-22T00:00:00" u="1"/>
        <d v="2020-11-22T00:00:00" u="1"/>
        <d v="2012-04-01T00:00:00" u="1"/>
        <d v="2015-04-01T00:00:00" u="1"/>
        <d v="2016-04-01T00:00:00" u="1"/>
        <d v="2018-04-01T00:00:00" u="1"/>
        <d v="2019-04-01T00:00:00" u="1"/>
        <d v="2020-04-01T00:00:00" u="1"/>
        <d v="2011-12-22T00:00:00" u="1"/>
        <d v="2021-04-01T00:00:00" u="1"/>
        <d v="2012-12-22T00:00:00" u="1"/>
        <d v="2013-12-22T00:00:00" u="1"/>
        <d v="2015-12-22T00:00:00" u="1"/>
        <d v="2016-12-22T00:00:00" u="1"/>
        <d v="2017-12-22T00:00:00" u="1"/>
        <d v="2019-12-22T00:00:00" u="1"/>
        <d v="2020-12-22T00:00:00" u="1"/>
        <d v="2012-05-01T00:00:00" u="1"/>
        <d v="2013-05-01T00:00:00" u="1"/>
        <d v="2011-01-12T00:00:00" u="1"/>
        <d v="2016-05-01T00:00:00" u="1"/>
        <d v="2013-01-12T00:00:00" u="1"/>
        <d v="2018-05-01T00:00:00" u="1"/>
        <d v="2014-01-12T00:00:00" u="1"/>
        <d v="2019-05-01T00:00:00" u="1"/>
        <d v="2020-05-01T00:00:00" u="1"/>
        <d v="2016-01-12T00:00:00" u="1"/>
        <d v="2017-01-12T00:00:00" u="1"/>
        <d v="2018-01-12T00:00:00" u="1"/>
        <d v="2020-01-12T00:00:00" u="1"/>
        <d v="2021-01-12T00:00:00" u="1"/>
        <d v="2013-06-01T00:00:00" u="1"/>
        <d v="2015-06-01T00:00:00" u="1"/>
        <d v="2016-06-01T00:00:00" u="1"/>
        <d v="2013-02-12T00:00:00" u="1"/>
        <d v="2018-06-01T00:00:00" u="1"/>
        <d v="2014-02-12T00:00:00" u="1"/>
        <d v="2019-06-01T00:00:00" u="1"/>
        <d v="2020-06-01T00:00:00" u="1"/>
        <d v="2016-02-12T00:00:00" u="1"/>
        <d v="2017-02-12T00:00:00" u="1"/>
        <d v="2020-02-12T00:00:00" u="1"/>
        <d v="2021-02-12T00:00:00" u="1"/>
        <d v="2013-07-01T00:00:00" u="1"/>
        <d v="2015-07-01T00:00:00" u="1"/>
        <d v="2016-07-01T00:00:00" u="1"/>
        <d v="2017-07-01T00:00:00" u="1"/>
        <d v="2018-07-01T00:00:00" u="1"/>
        <d v="2014-03-12T00:00:00" u="1"/>
        <d v="2019-07-01T00:00:00" u="1"/>
        <d v="2020-07-01T00:00:00" u="1"/>
        <d v="2016-03-12T00:00:00" u="1"/>
        <d v="2018-03-12T00:00:00" u="1"/>
        <d v="2019-03-12T00:00:00" u="1"/>
        <d v="2020-03-12T00:00:00" u="1"/>
        <d v="2001-08-01T00:00:00" u="1"/>
        <d v="2011-08-01T00:00:00" u="1"/>
        <d v="2013-08-01T00:00:00" u="1"/>
        <d v="2015-08-01T00:00:00" u="1"/>
        <d v="2016-08-01T00:00:00" u="1"/>
        <d v="2012-04-12T00:00:00" u="1"/>
        <d v="2017-08-01T00:00:00" u="1"/>
        <d v="2018-08-01T00:00:00" u="1"/>
        <d v="2019-08-01T00:00:00" u="1"/>
        <d v="2015-04-12T00:00:00" u="1"/>
        <d v="2020-08-01T00:00:00" u="1"/>
        <d v="2016-04-12T00:00:00" u="1"/>
        <d v="2019-04-12T00:00:00" u="1"/>
        <d v="2020-04-12T00:00:00" u="1"/>
        <d v="2021-04-12T00:00:00" u="1"/>
        <d v="2013-09-01T00:00:00" u="1"/>
        <d v="2015-09-01T00:00:00" u="1"/>
        <d v="2016-09-01T00:00:00" u="1"/>
        <d v="2013-05-12T00:00:00" u="1"/>
        <d v="2018-09-01T00:00:00" u="1"/>
        <d v="2019-09-01T00:00:00" u="1"/>
        <d v="2020-09-01T00:00:00" u="1"/>
        <d v="2011-01-23T00:00:00" u="1"/>
        <d v="2016-05-12T00:00:00" u="1"/>
        <d v="2013-01-23T00:00:00" u="1"/>
        <d v="2018-05-12T00:00:00" u="1"/>
        <d v="2014-01-23T00:00:00" u="1"/>
        <d v="2019-05-12T00:00:00" u="1"/>
        <d v="2020-05-12T00:00:00" u="1"/>
        <d v="2016-01-23T00:00:00" u="1"/>
        <d v="2017-01-23T00:00:00" u="1"/>
        <d v="2018-01-23T00:00:00" u="1"/>
        <d v="2020-01-23T00:00:00" u="1"/>
        <d v="2021-01-23T00:00:00" u="1"/>
        <d v="1900-07-12T00:00:00" u="1"/>
        <d v="2013-10-01T00:00:00" u="1"/>
        <d v="2015-10-01T00:00:00" u="1"/>
        <d v="2016-10-01T00:00:00" u="1"/>
        <d v="2013-06-12T00:00:00" u="1"/>
        <d v="2019-10-01T00:00:00" u="1"/>
        <d v="2015-06-12T00:00:00" u="1"/>
        <d v="2020-10-01T00:00:00" u="1"/>
        <d v="2016-06-12T00:00:00" u="1"/>
        <d v="2013-02-23T00:00:00" u="1"/>
        <d v="2018-06-12T00:00:00" u="1"/>
        <d v="2014-02-23T00:00:00" u="1"/>
        <d v="2019-06-12T00:00:00" u="1"/>
        <d v="2020-06-12T00:00:00" u="1"/>
        <d v="2016-02-23T00:00:00" u="1"/>
        <d v="2017-02-23T00:00:00" u="1"/>
        <d v="2020-02-23T00:00:00" u="1"/>
        <d v="2021-02-23T00:00:00" u="1"/>
        <d v="2013-11-01T00:00:00" u="1"/>
        <d v="2015-11-01T00:00:00" u="1"/>
        <d v="2016-11-01T00:00:00" u="1"/>
        <d v="2013-07-12T00:00:00" u="1"/>
        <d v="2019-11-01T00:00:00" u="1"/>
        <d v="2015-07-12T00:00:00" u="1"/>
        <d v="2020-11-01T00:00:00" u="1"/>
        <d v="2016-07-12T00:00:00" u="1"/>
        <d v="2017-07-12T00:00:00" u="1"/>
        <d v="2018-07-12T00:00:00" u="1"/>
        <d v="2014-03-23T00:00:00" u="1"/>
        <d v="2019-07-12T00:00:00" u="1"/>
        <d v="2020-07-12T00:00:00" u="1"/>
        <d v="2016-03-23T00:00:00" u="1"/>
        <d v="2019-03-23T00:00:00" u="1"/>
        <d v="2020-03-23T00:00:00" u="1"/>
        <d v="2011-12-01T00:00:00" u="1"/>
        <d v="2012-12-01T00:00:00" u="1"/>
        <d v="2013-12-01T00:00:00" u="1"/>
        <d v="2015-12-01T00:00:00" u="1"/>
        <d v="2011-08-12T00:00:00" u="1"/>
        <d v="2017-12-01T00:00:00" u="1"/>
        <d v="2013-08-12T00:00:00" u="1"/>
        <d v="2019-12-01T00:00:00" u="1"/>
        <d v="2015-08-12T00:00:00" u="1"/>
        <d v="2020-12-01T00:00:00" u="1"/>
        <d v="2016-08-12T00:00:00" u="1"/>
        <d v="2012-04-23T00:00:00" u="1"/>
        <d v="2018-08-12T00:00:00" u="1"/>
        <d v="2019-08-12T00:00:00" u="1"/>
        <d v="2015-04-23T00:00:00" u="1"/>
        <d v="2020-08-12T00:00:00" u="1"/>
        <d v="2016-04-23T00:00:00" u="1"/>
        <d v="2019-04-23T00:00:00" u="1"/>
        <d v="2020-04-23T00:00:00" u="1"/>
        <d v="2021-04-23T00:00:00" u="1"/>
        <d v="2013-09-12T00:00:00" u="1"/>
        <d v="2015-09-12T00:00:00" u="1"/>
        <d v="2016-09-12T00:00:00" u="1"/>
        <d v="2013-05-23T00:00:00" u="1"/>
        <d v="2019-09-12T00:00:00" u="1"/>
        <d v="2020-09-12T00:00:00" u="1"/>
        <d v="2016-05-23T00:00:00" u="1"/>
        <d v="2019-05-23T00:00:00" u="1"/>
        <d v="2020-05-23T00:00:00" u="1"/>
        <d v="2013-10-12T00:00:00" u="1"/>
        <d v="2015-10-12T00:00:00" u="1"/>
        <d v="2016-10-12T00:00:00" u="1"/>
        <d v="2013-06-23T00:00:00" u="1"/>
        <d v="2019-10-12T00:00:00" u="1"/>
        <d v="2015-06-23T00:00:00" u="1"/>
        <d v="2020-10-12T00:00:00" u="1"/>
        <d v="2016-06-23T00:00:00" u="1"/>
        <d v="2018-06-23T00:00:00" u="1"/>
        <d v="2019-06-23T00:00:00" u="1"/>
        <d v="2020-06-23T00:00:00" u="1"/>
        <d v="2013-11-12T00:00:00" u="1"/>
        <d v="2015-11-12T00:00:00" u="1"/>
        <d v="2016-11-12T00:00:00" u="1"/>
        <d v="2013-07-23T00:00:00" u="1"/>
        <d v="2015-07-23T00:00:00" u="1"/>
        <d v="2020-11-12T00:00:00" u="1"/>
        <d v="2017-07-23T00:00:00" u="1"/>
        <d v="2018-07-23T00:00:00" u="1"/>
        <d v="2019-07-23T00:00:00" u="1"/>
        <d v="2020-07-23T00:00:00" u="1"/>
        <d v="2011-12-12T00:00:00" u="1"/>
        <d v="2012-12-12T00:00:00" u="1"/>
        <d v="2013-12-12T00:00:00" u="1"/>
        <d v="2015-12-12T00:00:00" u="1"/>
        <d v="2011-08-23T00:00:00" u="1"/>
        <d v="2016-12-12T00:00:00" u="1"/>
        <d v="2017-12-12T00:00:00" u="1"/>
        <d v="2013-08-23T00:00:00" u="1"/>
        <d v="2019-12-12T00:00:00" u="1"/>
        <d v="2015-08-23T00:00:00" u="1"/>
        <d v="2020-12-12T00:00:00" u="1"/>
        <d v="2016-08-23T00:00:00" u="1"/>
        <d v="2021-12-12T00:00:00" u="1"/>
        <d v="2018-08-23T00:00:00" u="1"/>
        <d v="2019-08-23T00:00:00" u="1"/>
        <d v="2020-08-23T00:00:00" u="1"/>
        <d v="2011-01-02T00:00:00" u="1"/>
        <d v="2013-01-02T00:00:00" u="1"/>
        <d v="2014-01-02T00:00:00" u="1"/>
        <d v="2016-01-02T00:00:00" u="1"/>
        <d v="2017-01-02T00:00:00" u="1"/>
        <d v="2018-01-02T00:00:00" u="1"/>
        <d v="2020-01-02T00:00:00" u="1"/>
        <d v="2021-01-02T00:00:00" u="1"/>
        <d v="2013-09-23T00:00:00" u="1"/>
        <d v="2015-09-23T00:00:00" u="1"/>
        <d v="2016-09-23T00:00:00" u="1"/>
        <d v="2019-09-23T00:00:00" u="1"/>
        <d v="2020-09-23T00:00:00" u="1"/>
        <d v="2013-02-02T00:00:00" u="1"/>
        <d v="2014-02-02T00:00:00" u="1"/>
        <d v="2016-02-02T00:00:00" u="1"/>
        <d v="2017-02-02T00:00:00" u="1"/>
        <d v="2018-02-02T00:00:00" u="1"/>
        <d v="2020-02-02T00:00:00" u="1"/>
        <d v="2021-02-02T00:00:00" u="1"/>
        <d v="2013-10-23T00:00:00" u="1"/>
        <d v="2015-10-23T00:00:00" u="1"/>
        <d v="2016-10-23T00:00:00" u="1"/>
        <d v="2019-10-23T00:00:00" u="1"/>
        <d v="2020-10-23T00:00:00" u="1"/>
        <d v="2013-03-02T00:00:00" u="1"/>
        <d v="2014-03-02T00:00:00" u="1"/>
        <d v="2016-03-02T00:00:00" u="1"/>
        <d v="2018-03-02T00:00:00" u="1"/>
        <d v="2019-03-02T00:00:00" u="1"/>
        <d v="2020-03-02T00:00:00" u="1"/>
        <d v="2011-11-23T00:00:00" u="1"/>
        <d v="2021-03-02T00:00:00" u="1"/>
        <d v="2013-11-23T00:00:00" u="1"/>
        <d v="2015-11-23T00:00:00" u="1"/>
        <d v="2016-11-23T00:00:00" u="1"/>
        <d v="2019-11-23T00:00:00" u="1"/>
        <d v="2020-11-23T00:00:00" u="1"/>
        <d v="2012-04-02T00:00:00" u="1"/>
        <d v="2013-04-02T00:00:00" u="1"/>
        <d v="2015-04-02T00:00:00" u="1"/>
        <d v="2016-04-02T00:00:00" u="1"/>
        <d v="2018-04-02T00:00:00" u="1"/>
        <d v="2019-04-02T00:00:00" u="1"/>
        <d v="2020-04-02T00:00:00" u="1"/>
        <d v="2011-12-23T00:00:00" u="1"/>
        <d v="2021-04-02T00:00:00" u="1"/>
        <d v="2012-12-23T00:00:00" u="1"/>
        <d v="2013-12-23T00:00:00" u="1"/>
        <d v="2015-12-23T00:00:00" u="1"/>
        <d v="2016-12-23T00:00:00" u="1"/>
        <d v="2017-12-23T00:00:00" u="1"/>
        <d v="2019-12-23T00:00:00" u="1"/>
        <d v="2020-12-23T00:00:00" u="1"/>
        <d v="2012-05-02T00:00:00" u="1"/>
        <d v="2013-05-02T00:00:00" u="1"/>
        <d v="2011-01-13T00:00:00" u="1"/>
        <d v="2016-05-02T00:00:00" u="1"/>
        <d v="2013-01-13T00:00:00" u="1"/>
        <d v="2018-05-02T00:00:00" u="1"/>
        <d v="2014-01-13T00:00:00" u="1"/>
        <d v="2019-05-02T00:00:00" u="1"/>
        <d v="2020-05-02T00:00:00" u="1"/>
        <d v="2016-01-13T00:00:00" u="1"/>
        <d v="2017-01-13T00:00:00" u="1"/>
        <d v="2018-01-13T00:00:00" u="1"/>
        <d v="2020-01-13T00:00:00" u="1"/>
        <d v="2021-01-13T00:00:00" u="1"/>
        <d v="2001-02-13T00:00:00" u="1"/>
        <d v="2013-06-02T00:00:00" u="1"/>
        <d v="2015-06-02T00:00:00" u="1"/>
        <d v="2016-06-02T00:00:00" u="1"/>
        <d v="2013-02-13T00:00:00" u="1"/>
        <d v="2018-06-02T00:00:00" u="1"/>
        <d v="2014-02-13T00:00:00" u="1"/>
        <d v="2019-06-02T00:00:00" u="1"/>
        <d v="2020-06-02T00:00:00" u="1"/>
        <d v="2016-02-13T00:00:00" u="1"/>
        <d v="2017-02-13T00:00:00" u="1"/>
        <d v="2018-02-13T00:00:00" u="1"/>
        <d v="2020-02-13T00:00:00" u="1"/>
        <d v="2021-02-13T00:00:00" u="1"/>
        <d v="2013-07-02T00:00:00" u="1"/>
        <d v="2015-07-02T00:00:00" u="1"/>
        <d v="2016-07-02T00:00:00" u="1"/>
        <d v="2017-07-02T00:00:00" u="1"/>
        <d v="2018-07-02T00:00:00" u="1"/>
        <d v="2014-03-13T00:00:00" u="1"/>
        <d v="2019-07-02T00:00:00" u="1"/>
        <d v="2020-07-02T00:00:00" u="1"/>
        <d v="2016-03-13T00:00:00" u="1"/>
        <d v="2018-03-13T00:00:00" u="1"/>
        <d v="2019-03-13T00:00:00" u="1"/>
        <d v="2020-03-13T00:00:00" u="1"/>
        <d v="2011-08-02T00:00:00" u="1"/>
        <d v="2013-08-02T00:00:00" u="1"/>
        <d v="2015-08-02T00:00:00" u="1"/>
        <d v="2016-08-02T00:00:00" u="1"/>
        <d v="2012-04-13T00:00:00" u="1"/>
        <d v="2018-08-02T00:00:00" u="1"/>
        <d v="2019-08-02T00:00:00" u="1"/>
        <d v="2015-04-13T00:00:00" u="1"/>
        <d v="2020-08-02T00:00:00" u="1"/>
        <d v="2016-04-13T00:00:00" u="1"/>
        <d v="2019-04-13T00:00:00" u="1"/>
        <d v="2020-04-13T00:00:00" u="1"/>
        <d v="2021-04-13T00:00:00" u="1"/>
        <d v="2013-09-02T00:00:00" u="1"/>
        <d v="2015-09-02T00:00:00" u="1"/>
        <d v="2016-09-02T00:00:00" u="1"/>
        <d v="2013-05-13T00:00:00" u="1"/>
        <d v="2019-09-02T00:00:00" u="1"/>
        <d v="2020-09-02T00:00:00" u="1"/>
        <d v="2011-01-24T00:00:00" u="1"/>
        <d v="2016-05-13T00:00:00" u="1"/>
        <d v="2013-01-24T00:00:00" u="1"/>
        <d v="2018-05-13T00:00:00" u="1"/>
        <d v="2014-01-24T00:00:00" u="1"/>
        <d v="2019-05-13T00:00:00" u="1"/>
        <d v="2020-05-13T00:00:00" u="1"/>
        <d v="2016-01-24T00:00:00" u="1"/>
        <d v="2017-01-24T00:00:00" u="1"/>
        <d v="2018-01-24T00:00:00" u="1"/>
        <d v="2020-01-24T00:00:00" u="1"/>
        <d v="2021-01-24T00:00:00" u="1"/>
        <d v="2013-10-02T00:00:00" u="1"/>
        <d v="2015-10-02T00:00:00" u="1"/>
        <d v="2016-10-02T00:00:00" u="1"/>
        <d v="2013-06-13T00:00:00" u="1"/>
        <d v="2019-10-02T00:00:00" u="1"/>
        <d v="2015-06-13T00:00:00" u="1"/>
        <d v="2020-10-02T00:00:00" u="1"/>
        <d v="2016-06-13T00:00:00" u="1"/>
        <d v="2013-02-24T00:00:00" u="1"/>
        <d v="2018-06-13T00:00:00" u="1"/>
        <d v="2014-02-24T00:00:00" u="1"/>
        <d v="2019-06-13T00:00:00" u="1"/>
        <d v="2020-06-13T00:00:00" u="1"/>
        <d v="2016-02-24T00:00:00" u="1"/>
        <d v="2017-02-24T00:00:00" u="1"/>
        <d v="2020-02-24T00:00:00" u="1"/>
        <d v="2021-02-24T00:00:00" u="1"/>
        <d v="2011-11-02T00:00:00" u="1"/>
        <d v="2012-11-02T00:00:00" u="1"/>
        <d v="2013-11-02T00:00:00" u="1"/>
        <d v="2015-11-02T00:00:00" u="1"/>
        <d v="2016-11-02T00:00:00" u="1"/>
        <d v="2013-07-13T00:00:00" u="1"/>
        <d v="2019-11-02T00:00:00" u="1"/>
        <d v="2015-07-13T00:00:00" u="1"/>
        <d v="2020-11-02T00:00:00" u="1"/>
        <d v="2016-07-13T00:00:00" u="1"/>
        <d v="2017-07-13T00:00:00" u="1"/>
        <d v="2018-07-13T00:00:00" u="1"/>
        <d v="2014-03-24T00:00:00" u="1"/>
        <d v="2019-07-13T00:00:00" u="1"/>
        <d v="2020-07-13T00:00:00" u="1"/>
        <d v="2016-03-24T00:00:00" u="1"/>
        <d v="2019-03-24T00:00:00" u="1"/>
        <d v="2020-03-24T00:00:00" u="1"/>
        <d v="2011-12-02T00:00:00" u="1"/>
        <d v="2012-12-02T00:00:00" u="1"/>
        <d v="2013-12-02T00:00:00" u="1"/>
        <d v="2015-12-02T00:00:00" u="1"/>
        <d v="2011-08-13T00:00:00" u="1"/>
        <d v="2016-12-02T00:00:00" u="1"/>
        <d v="2017-12-02T00:00:00" u="1"/>
        <d v="2013-08-13T00:00:00" u="1"/>
        <d v="2019-12-02T00:00:00" u="1"/>
        <d v="2015-08-13T00:00:00" u="1"/>
        <d v="2020-12-02T00:00:00" u="1"/>
        <d v="2016-08-13T00:00:00" u="1"/>
        <d v="2012-04-24T00:00:00" u="1"/>
        <d v="2018-08-13T00:00:00" u="1"/>
        <d v="2019-08-13T00:00:00" u="1"/>
        <d v="2015-04-24T00:00:00" u="1"/>
        <d v="2020-08-13T00:00:00" u="1"/>
        <d v="2016-04-24T00:00:00" u="1"/>
        <d v="2019-04-24T00:00:00" u="1"/>
        <d v="2020-04-24T00:00:00" u="1"/>
        <d v="2021-04-24T00:00:00" u="1"/>
        <d v="2013-09-13T00:00:00" u="1"/>
        <d v="2015-09-13T00:00:00" u="1"/>
        <d v="2016-09-13T00:00:00" u="1"/>
        <d v="2013-05-24T00:00:00" u="1"/>
        <d v="2019-09-13T00:00:00" u="1"/>
        <d v="2020-09-13T00:00:00" u="1"/>
        <d v="2016-05-24T00:00:00" u="1"/>
        <d v="2019-05-24T00:00:00" u="1"/>
        <d v="2020-05-24T00:00:00" u="1"/>
        <d v="2013-10-13T00:00:00" u="1"/>
        <d v="2015-10-13T00:00:00" u="1"/>
        <d v="2016-10-13T00:00:00" u="1"/>
        <d v="2013-06-24T00:00:00" u="1"/>
        <d v="2019-10-13T00:00:00" u="1"/>
        <d v="2015-06-24T00:00:00" u="1"/>
        <d v="2020-10-13T00:00:00" u="1"/>
        <d v="2016-06-24T00:00:00" u="1"/>
        <d v="2018-06-24T00:00:00" u="1"/>
        <d v="2019-06-24T00:00:00" u="1"/>
        <d v="2020-06-24T00:00:00" u="1"/>
        <d v="2013-11-13T00:00:00" u="1"/>
        <d v="2015-11-13T00:00:00" u="1"/>
        <d v="2016-11-13T00:00:00" u="1"/>
        <d v="2013-07-24T00:00:00" u="1"/>
        <d v="2019-11-13T00:00:00" u="1"/>
        <d v="2015-07-24T00:00:00" u="1"/>
        <d v="2020-11-13T00:00:00" u="1"/>
        <d v="2017-07-24T00:00:00" u="1"/>
        <d v="2018-07-24T00:00:00" u="1"/>
        <d v="2019-07-24T00:00:00" u="1"/>
        <d v="2020-07-24T00:00:00" u="1"/>
        <d v="2011-12-13T00:00:00" u="1"/>
        <d v="2012-12-13T00:00:00" u="1"/>
        <d v="2013-12-13T00:00:00" u="1"/>
        <d v="2015-12-13T00:00:00" u="1"/>
        <d v="2011-08-24T00:00:00" u="1"/>
        <d v="2016-12-13T00:00:00" u="1"/>
        <d v="2017-12-13T00:00:00" u="1"/>
        <d v="2013-08-24T00:00:00" u="1"/>
        <d v="2019-12-13T00:00:00" u="1"/>
        <d v="2015-08-24T00:00:00" u="1"/>
        <d v="2020-12-13T00:00:00" u="1"/>
        <d v="2016-08-24T00:00:00" u="1"/>
        <d v="2021-12-13T00:00:00" u="1"/>
        <d v="2018-08-24T00:00:00" u="1"/>
        <d v="2019-08-24T00:00:00" u="1"/>
        <d v="2020-08-24T00:00:00" u="1"/>
        <d v="2011-01-03T00:00:00" u="1"/>
        <d v="2013-01-03T00:00:00" u="1"/>
        <d v="2014-01-03T00:00:00" u="1"/>
        <d v="2016-01-03T00:00:00" u="1"/>
        <d v="2017-01-03T00:00:00" u="1"/>
        <d v="2018-01-03T00:00:00" u="1"/>
        <d v="2020-01-03T00:00:00" u="1"/>
        <d v="2021-01-03T00:00:00" u="1"/>
        <d v="2013-09-24T00:00:00" u="1"/>
        <d v="2015-09-24T00:00:00" u="1"/>
        <d v="2016-09-24T00:00:00" u="1"/>
        <d v="2019-09-24T00:00:00" u="1"/>
        <d v="2020-09-24T00:00:00" u="1"/>
        <d v="2011-02-03T00:00:00" u="1"/>
        <d v="2013-02-03T00:00:00" u="1"/>
        <d v="2014-02-03T00:00:00" u="1"/>
        <d v="2016-02-03T00:00:00" u="1"/>
        <d v="2017-02-03T00:00:00" u="1"/>
        <d v="2018-02-03T00:00:00" u="1"/>
        <d v="2020-02-03T00:00:00" u="1"/>
        <d v="2021-02-03T00:00:00" u="1"/>
        <d v="2013-10-24T00:00:00" u="1"/>
        <d v="2015-10-24T00:00:00" u="1"/>
        <d v="2016-10-24T00:00:00" u="1"/>
        <d v="2019-10-24T00:00:00" u="1"/>
        <d v="2020-10-24T00:00:00" u="1"/>
        <d v="2013-03-03T00:00:00" u="1"/>
        <d v="2014-03-03T00:00:00" u="1"/>
        <d v="2016-03-03T00:00:00" u="1"/>
        <d v="2018-03-03T00:00:00" u="1"/>
        <d v="2019-03-03T00:00:00" u="1"/>
        <d v="2020-03-03T00:00:00" u="1"/>
        <d v="2011-11-24T00:00:00" u="1"/>
        <d v="2021-03-03T00:00:00" u="1"/>
        <d v="2013-11-24T00:00:00" u="1"/>
        <d v="2015-11-24T00:00:00" u="1"/>
        <d v="2016-11-24T00:00:00" u="1"/>
        <d v="2019-11-24T00:00:00" u="1"/>
        <d v="2020-11-24T00:00:00" u="1"/>
        <d v="2012-04-03T00:00:00" u="1"/>
        <d v="2015-04-03T00:00:00" u="1"/>
        <d v="2016-04-03T00:00:00" u="1"/>
        <d v="2018-04-03T00:00:00" u="1"/>
        <d v="2019-04-03T00:00:00" u="1"/>
        <d v="2020-04-03T00:00:00" u="1"/>
        <d v="2021-04-03T00:00:00" u="1"/>
        <d v="2012-12-24T00:00:00" u="1"/>
        <d v="2013-12-24T00:00:00" u="1"/>
        <d v="2015-12-24T00:00:00" u="1"/>
        <d v="2016-12-24T00:00:00" u="1"/>
        <d v="2017-12-24T00:00:00" u="1"/>
        <d v="2020-12-24T00:00:00" u="1"/>
        <d v="2013-05-03T00:00:00" u="1"/>
        <d v="2011-01-14T00:00:00" u="1"/>
        <d v="2016-05-03T00:00:00" u="1"/>
        <d v="2013-01-14T00:00:00" u="1"/>
        <d v="2018-05-03T00:00:00" u="1"/>
        <d v="2014-01-14T00:00:00" u="1"/>
        <d v="2019-05-03T00:00:00" u="1"/>
        <d v="2020-05-03T00:00:00" u="1"/>
        <d v="2016-01-14T00:00:00" u="1"/>
        <d v="2017-01-14T00:00:00" u="1"/>
        <d v="2018-01-14T00:00:00" u="1"/>
        <d v="2020-01-14T00:00:00" u="1"/>
        <d v="2021-01-14T00:00:00" u="1"/>
        <d v="2013-06-03T00:00:00" u="1"/>
        <d v="2015-06-03T00:00:00" u="1"/>
        <d v="2016-06-03T00:00:00" u="1"/>
        <d v="2013-02-14T00:00:00" u="1"/>
        <d v="2018-06-03T00:00:00" u="1"/>
        <d v="2014-02-14T00:00:00" u="1"/>
        <d v="2019-06-03T00:00:00" u="1"/>
        <d v="2020-06-03T00:00:00" u="1"/>
        <d v="2016-02-14T00:00:00" u="1"/>
        <d v="2017-02-14T00:00:00" u="1"/>
        <d v="2020-02-14T00:00:00" u="1"/>
        <d v="2021-02-14T00:00:00" u="1"/>
        <d v="2013-07-03T00:00:00" u="1"/>
        <d v="2015-07-03T00:00:00" u="1"/>
        <d v="2016-07-03T00:00:00" u="1"/>
        <d v="2017-07-03T00:00:00" u="1"/>
        <d v="2018-07-03T00:00:00" u="1"/>
        <d v="2014-03-14T00:00:00" u="1"/>
        <d v="2019-07-03T00:00:00" u="1"/>
        <d v="2020-07-03T00:00:00" u="1"/>
        <d v="2016-03-14T00:00:00" u="1"/>
        <d v="2018-03-14T00:00:00" u="1"/>
        <d v="2019-03-14T00:00:00" u="1"/>
        <d v="2020-03-14T00:00:00" u="1"/>
        <d v="2011-08-03T00:00:00" u="1"/>
        <d v="2013-08-03T00:00:00" u="1"/>
        <d v="2015-08-03T00:00:00" u="1"/>
        <d v="2016-08-03T00:00:00" u="1"/>
        <d v="2012-04-14T00:00:00" u="1"/>
        <d v="2018-08-03T00:00:00" u="1"/>
        <d v="2019-08-03T00:00:00" u="1"/>
        <d v="2015-04-14T00:00:00" u="1"/>
        <d v="2020-08-03T00:00:00" u="1"/>
        <d v="2016-04-14T00:00:00" u="1"/>
        <d v="2019-04-14T00:00:00" u="1"/>
        <d v="2020-04-14T00:00:00" u="1"/>
        <d v="2021-04-14T00:00:00" u="1"/>
        <d v="2013-09-03T00:00:00" u="1"/>
        <d v="2015-09-03T00:00:00" u="1"/>
        <d v="2016-09-03T00:00:00" u="1"/>
        <d v="2013-05-14T00:00:00" u="1"/>
        <d v="2019-09-03T00:00:00" u="1"/>
        <d v="2020-09-03T00:00:00" u="1"/>
        <d v="2011-01-25T00:00:00" u="1"/>
        <d v="2016-05-14T00:00:00" u="1"/>
        <d v="2013-01-25T00:00:00" u="1"/>
        <d v="2018-05-14T00:00:00" u="1"/>
        <d v="2014-01-25T00:00:00" u="1"/>
        <d v="2019-05-14T00:00:00" u="1"/>
        <d v="2020-05-14T00:00:00" u="1"/>
        <d v="2016-01-25T00:00:00" u="1"/>
        <d v="2017-01-25T00:00:00" u="1"/>
        <d v="2018-01-25T00:00:00" u="1"/>
        <d v="2020-01-25T00:00:00" u="1"/>
        <d v="2021-01-25T00:00:00" u="1"/>
        <d v="2013-10-03T00:00:00" u="1"/>
        <d v="2015-10-03T00:00:00" u="1"/>
        <d v="2016-10-03T00:00:00" u="1"/>
        <d v="2013-06-14T00:00:00" u="1"/>
        <d v="2019-10-03T00:00:00" u="1"/>
        <d v="2015-06-14T00:00:00" u="1"/>
        <d v="2020-10-03T00:00:00" u="1"/>
        <d v="2016-06-14T00:00:00" u="1"/>
        <d v="2013-02-25T00:00:00" u="1"/>
        <d v="2018-06-14T00:00:00" u="1"/>
        <d v="2014-02-25T00:00:00" u="1"/>
        <d v="2019-06-14T00:00:00" u="1"/>
        <d v="2020-06-14T00:00:00" u="1"/>
        <d v="2016-02-25T00:00:00" u="1"/>
        <d v="2017-02-25T00:00:00" u="1"/>
        <d v="2020-02-25T00:00:00" u="1"/>
        <d v="2021-02-25T00:00:00" u="1"/>
        <d v="2011-11-03T00:00:00" u="1"/>
        <d v="2013-11-03T00:00:00" u="1"/>
        <d v="2015-11-03T00:00:00" u="1"/>
        <d v="2016-11-03T00:00:00" u="1"/>
        <d v="2013-07-14T00:00:00" u="1"/>
        <d v="2015-07-14T00:00:00" u="1"/>
        <d v="2020-11-03T00:00:00" u="1"/>
        <d v="2016-07-14T00:00:00" u="1"/>
        <d v="2017-07-14T00:00:00" u="1"/>
        <d v="2018-07-14T00:00:00" u="1"/>
        <d v="2014-03-25T00:00:00" u="1"/>
        <d v="2019-07-14T00:00:00" u="1"/>
        <d v="2020-07-14T00:00:00" u="1"/>
        <d v="2016-03-25T00:00:00" u="1"/>
        <d v="2019-03-25T00:00:00" u="1"/>
        <d v="2020-03-25T00:00:00" u="1"/>
        <d v="2012-12-03T00:00:00" u="1"/>
        <d v="2013-12-03T00:00:00" u="1"/>
        <d v="2015-12-03T00:00:00" u="1"/>
        <d v="2011-08-14T00:00:00" u="1"/>
        <d v="2016-12-03T00:00:00" u="1"/>
        <d v="2017-12-03T00:00:00" u="1"/>
        <d v="2013-08-14T00:00:00" u="1"/>
        <d v="2019-12-03T00:00:00" u="1"/>
        <d v="2015-08-14T00:00:00" u="1"/>
        <d v="2020-12-03T00:00:00" u="1"/>
        <d v="2016-08-14T00:00:00" u="1"/>
        <d v="2012-04-25T00:00:00" u="1"/>
        <d v="2018-08-14T00:00:00" u="1"/>
        <d v="2019-08-14T00:00:00" u="1"/>
        <d v="2015-04-25T00:00:00" u="1"/>
        <d v="2020-08-14T00:00:00" u="1"/>
        <d v="2016-04-25T00:00:00" u="1"/>
        <d v="2019-04-25T00:00:00" u="1"/>
        <d v="2020-04-25T00:00:00" u="1"/>
        <d v="2021-04-25T00:00:00" u="1"/>
        <d v="1979-05-25T00:00:00" u="1"/>
        <d v="2013-09-14T00:00:00" u="1"/>
        <d v="2015-09-14T00:00:00" u="1"/>
        <d v="2016-09-14T00:00:00" u="1"/>
        <d v="2013-05-25T00:00:00" u="1"/>
        <d v="2019-09-14T00:00:00" u="1"/>
        <d v="2020-09-14T00:00:00" u="1"/>
        <d v="2016-05-25T00:00:00" u="1"/>
        <d v="2019-05-25T00:00:00" u="1"/>
        <d v="2020-05-25T00:00:00" u="1"/>
        <d v="2013-10-14T00:00:00" u="1"/>
        <d v="2015-10-14T00:00:00" u="1"/>
        <d v="2016-10-14T00:00:00" u="1"/>
        <d v="2013-06-25T00:00:00" u="1"/>
        <d v="2019-10-14T00:00:00" u="1"/>
        <d v="2015-06-25T00:00:00" u="1"/>
        <d v="2020-10-14T00:00:00" u="1"/>
        <d v="2016-06-25T00:00:00" u="1"/>
        <d v="2018-06-25T00:00:00" u="1"/>
        <d v="2019-06-25T00:00:00" u="1"/>
        <d v="2020-06-25T00:00:00" u="1"/>
        <d v="2011-11-14T00:00:00" u="1"/>
        <d v="2013-11-14T00:00:00" u="1"/>
        <d v="2015-11-14T00:00:00" u="1"/>
        <d v="2016-11-14T00:00:00" u="1"/>
        <d v="2013-07-25T00:00:00" u="1"/>
        <d v="2019-11-14T00:00:00" u="1"/>
        <d v="2015-07-25T00:00:00" u="1"/>
        <d v="2020-11-14T00:00:00" u="1"/>
        <d v="2017-07-25T00:00:00" u="1"/>
        <d v="2018-07-25T00:00:00" u="1"/>
        <d v="2019-07-25T00:00:00" u="1"/>
        <d v="2020-07-25T00:00:00" u="1"/>
        <d v="2011-12-14T00:00:00" u="1"/>
        <d v="2012-12-14T00:00:00" u="1"/>
        <d v="2013-12-14T00:00:00" u="1"/>
        <d v="2015-12-14T00:00:00" u="1"/>
        <d v="2011-08-25T00:00:00" u="1"/>
        <d v="2016-12-14T00:00:00" u="1"/>
        <d v="2017-12-14T00:00:00" u="1"/>
        <d v="2013-08-25T00:00:00" u="1"/>
        <d v="2019-12-14T00:00:00" u="1"/>
        <d v="2015-08-25T00:00:00" u="1"/>
        <d v="2020-12-14T00:00:00" u="1"/>
        <d v="2016-08-25T00:00:00" u="1"/>
        <d v="2018-08-25T00:00:00" u="1"/>
        <d v="2019-08-25T00:00:00" u="1"/>
        <d v="2020-08-25T00:00:00" u="1"/>
        <d v="2011-01-04T00:00:00" u="1"/>
        <d v="2013-01-04T00:00:00" u="1"/>
        <d v="2014-01-04T00:00:00" u="1"/>
        <d v="2016-01-04T00:00:00" u="1"/>
        <d v="2017-01-04T00:00:00" u="1"/>
        <d v="2018-01-04T00:00:00" u="1"/>
        <d v="2020-01-04T00:00:00" u="1"/>
        <d v="2021-01-04T00:00:00" u="1"/>
        <d v="2013-09-25T00:00:00" u="1"/>
        <d v="2015-09-25T00:00:00" u="1"/>
        <d v="2016-09-25T00:00:00" u="1"/>
        <d v="2019-09-25T00:00:00" u="1"/>
        <d v="2020-09-25T00:00:00" u="1"/>
        <d v="2013-02-04T00:00:00" u="1"/>
        <d v="2014-02-04T00:00:00" u="1"/>
        <d v="2016-02-04T00:00:00" u="1"/>
        <d v="2017-02-04T00:00:00" u="1"/>
        <d v="2018-02-04T00:00:00" u="1"/>
        <d v="2020-02-04T00:00:00" u="1"/>
        <d v="2021-02-04T00:00:00" u="1"/>
        <d v="2013-10-25T00:00:00" u="1"/>
        <d v="2015-10-25T00:00:00" u="1"/>
        <d v="2016-10-25T00:00:00" u="1"/>
        <d v="2019-10-25T00:00:00" u="1"/>
        <d v="2020-10-25T00:00:00" u="1"/>
        <d v="2014-03-04T00:00:00" u="1"/>
        <d v="2016-03-04T00:00:00" u="1"/>
        <d v="2018-03-04T00:00:00" u="1"/>
        <d v="2019-03-04T00:00:00" u="1"/>
        <d v="2020-03-04T00:00:00" u="1"/>
        <d v="2011-11-25T00:00:00" u="1"/>
        <d v="2021-03-04T00:00:00" u="1"/>
        <d v="2013-11-25T00:00:00" u="1"/>
        <d v="2015-11-25T00:00:00" u="1"/>
        <d v="2016-11-25T00:00:00" u="1"/>
        <d v="2019-11-25T00:00:00" u="1"/>
        <d v="2020-11-25T00:00:00" u="1"/>
        <d v="2012-04-04T00:00:00" u="1"/>
        <d v="2015-04-04T00:00:00" u="1"/>
        <d v="2016-04-04T00:00:00" u="1"/>
        <d v="2018-04-04T00:00:00" u="1"/>
        <d v="2019-04-04T00:00:00" u="1"/>
        <d v="2020-04-04T00:00:00" u="1"/>
        <d v="2021-04-04T00:00:00" u="1"/>
        <d v="2012-12-25T00:00:00" u="1"/>
        <d v="2015-12-25T00:00:00" u="1"/>
        <d v="2016-12-25T00:00:00" u="1"/>
        <d v="2020-12-25T00:00:00" u="1"/>
        <d v="2013-05-04T00:00:00" u="1"/>
        <d v="2011-01-15T00:00:00" u="1"/>
        <d v="2016-05-04T00:00:00" u="1"/>
        <d v="2013-01-15T00:00:00" u="1"/>
        <d v="2018-05-04T00:00:00" u="1"/>
        <d v="2014-01-15T00:00:00" u="1"/>
        <d v="2019-05-04T00:00:00" u="1"/>
        <d v="2016-01-15T00:00:00" u="1"/>
        <d v="2017-01-15T00:00:00" u="1"/>
        <d v="2018-01-15T00:00:00" u="1"/>
        <d v="2020-01-15T00:00:00" u="1"/>
        <d v="2021-01-15T00:00:00" u="1"/>
        <d v="2013-06-04T00:00:00" u="1"/>
        <d v="2015-06-04T00:00:00" u="1"/>
        <d v="2016-06-04T00:00:00" u="1"/>
        <d v="2013-02-15T00:00:00" u="1"/>
        <d v="2018-06-04T00:00:00" u="1"/>
        <d v="2014-02-15T00:00:00" u="1"/>
        <d v="2019-06-04T00:00:00" u="1"/>
        <d v="2020-06-04T00:00:00" u="1"/>
        <d v="2016-02-15T00:00:00" u="1"/>
        <d v="2017-02-15T00:00:00" u="1"/>
        <d v="2020-02-15T00:00:00" u="1"/>
        <d v="2021-02-15T00:00:00" u="1"/>
        <d v="2013-07-04T00:00:00" u="1"/>
        <d v="2015-07-04T00:00:00" u="1"/>
        <d v="2016-07-04T00:00:00" u="1"/>
        <d v="2017-07-04T00:00:00" u="1"/>
        <d v="2018-07-04T00:00:00" u="1"/>
        <d v="2014-03-15T00:00:00" u="1"/>
        <d v="2019-07-04T00:00:00" u="1"/>
        <d v="2020-07-04T00:00:00" u="1"/>
        <d v="2016-03-15T00:00:00" u="1"/>
        <d v="2018-03-15T00:00:00" u="1"/>
        <d v="2019-03-15T00:00:00" u="1"/>
        <d v="2020-03-15T00:00:00" u="1"/>
        <d v="2011-08-04T00:00:00" u="1"/>
        <d v="2013-08-04T00:00:00" u="1"/>
        <d v="2015-08-04T00:00:00" u="1"/>
        <d v="2016-08-04T00:00:00" u="1"/>
        <d v="2012-04-15T00:00:00" u="1"/>
        <d v="2018-08-04T00:00:00" u="1"/>
        <d v="2019-08-04T00:00:00" u="1"/>
        <d v="2015-04-15T00:00:00" u="1"/>
        <d v="2020-08-04T00:00:00" u="1"/>
        <d v="2016-04-15T00:00:00" u="1"/>
        <d v="2019-04-15T00:00:00" u="1"/>
        <d v="2020-04-15T00:00:00" u="1"/>
        <d v="2021-04-15T00:00:00" u="1"/>
        <d v="2013-09-04T00:00:00" u="1"/>
        <d v="2015-09-04T00:00:00" u="1"/>
        <d v="2016-09-04T00:00:00" u="1"/>
        <d v="2013-05-15T00:00:00" u="1"/>
        <d v="2019-09-04T00:00:00" u="1"/>
        <d v="2020-09-04T00:00:00" u="1"/>
        <d v="2011-01-26T00:00:00" u="1"/>
        <d v="2016-05-15T00:00:00" u="1"/>
        <d v="2013-01-26T00:00:00" u="1"/>
        <d v="2018-05-15T00:00:00" u="1"/>
        <d v="2014-01-26T00:00:00" u="1"/>
        <d v="2019-05-15T00:00:00" u="1"/>
        <d v="2020-05-15T00:00:00" u="1"/>
        <d v="2016-01-26T00:00:00" u="1"/>
        <d v="2017-01-26T00:00:00" u="1"/>
        <d v="2018-01-26T00:00:00" u="1"/>
        <d v="2020-01-26T00:00:00" u="1"/>
        <d v="2021-01-26T00:00:00" u="1"/>
        <d v="2013-10-04T00:00:00" u="1"/>
        <d v="2015-10-04T00:00:00" u="1"/>
        <d v="2016-10-04T00:00:00" u="1"/>
        <d v="2013-06-15T00:00:00" u="1"/>
        <d v="2019-10-04T00:00:00" u="1"/>
        <d v="2015-06-15T00:00:00" u="1"/>
        <d v="2020-10-04T00:00:00" u="1"/>
        <d v="2016-06-15T00:00:00" u="1"/>
        <d v="2013-02-26T00:00:00" u="1"/>
        <d v="2018-06-15T00:00:00" u="1"/>
        <d v="2014-02-26T00:00:00" u="1"/>
        <d v="2019-06-15T00:00:00" u="1"/>
        <d v="2020-06-15T00:00:00" u="1"/>
        <d v="2016-02-26T00:00:00" u="1"/>
        <d v="2020-02-26T00:00:00" u="1"/>
        <d v="2021-02-26T00:00:00" u="1"/>
        <d v="2011-11-04T00:00:00" u="1"/>
        <d v="2013-11-04T00:00:00" u="1"/>
        <d v="2015-11-04T00:00:00" u="1"/>
        <d v="2016-11-04T00:00:00" u="1"/>
        <d v="2013-07-15T00:00:00" u="1"/>
        <d v="2019-11-04T00:00:00" u="1"/>
        <d v="2015-07-15T00:00:00" u="1"/>
        <d v="2020-11-04T00:00:00" u="1"/>
        <d v="2016-07-15T00:00:00" u="1"/>
        <d v="2017-07-15T00:00:00" u="1"/>
        <d v="2018-07-15T00:00:00" u="1"/>
        <d v="2019-07-15T00:00:00" u="1"/>
        <d v="2020-07-15T00:00:00" u="1"/>
        <d v="2016-03-26T00:00:00" u="1"/>
        <d v="2019-03-26T00:00:00" u="1"/>
        <d v="2020-03-26T00:00:00" u="1"/>
        <d v="2012-12-04T00:00:00" u="1"/>
        <d v="2013-12-04T00:00:00" u="1"/>
        <d v="2015-12-04T00:00:00" u="1"/>
        <d v="2011-08-15T00:00:00" u="1"/>
        <d v="2016-12-04T00:00:00" u="1"/>
        <d v="2017-12-04T00:00:00" u="1"/>
        <d v="2013-08-15T00:00:00" u="1"/>
        <d v="2019-12-04T00:00:00" u="1"/>
        <d v="2015-08-15T00:00:00" u="1"/>
        <d v="2020-12-04T00:00:00" u="1"/>
        <d v="2012-04-26T00:00:00" u="1"/>
        <d v="2017-08-15T00:00:00" u="1"/>
        <d v="2018-08-15T00:00:00" u="1"/>
        <d v="2019-08-15T00:00:00" u="1"/>
        <d v="2020-08-15T00:00:00" u="1"/>
        <d v="2016-04-26T00:00:00" u="1"/>
        <d v="2019-04-26T00:00:00" u="1"/>
        <d v="2020-04-26T00:00:00" u="1"/>
        <d v="2021-04-26T00:00:00" u="1"/>
        <d v="2013-09-15T00:00:00" u="1"/>
        <d v="2015-09-15T00:00:00" u="1"/>
        <d v="2016-09-15T00:00:00" u="1"/>
        <d v="2013-05-26T00:00:00" u="1"/>
        <d v="2019-09-15T00:00:00" u="1"/>
        <d v="2020-09-15T00:00:00" u="1"/>
        <d v="2016-05-26T00:00:00" u="1"/>
        <d v="2019-05-26T00:00:00" u="1"/>
        <d v="2020-05-26T00:00:00" u="1"/>
        <d v="2013-10-15T00:00:00" u="1"/>
        <d v="2015-10-15T00:00:00" u="1"/>
        <d v="2016-10-15T00:00:00" u="1"/>
        <d v="2013-06-26T00:00:00" u="1"/>
        <d v="2019-10-15T00:00:00" u="1"/>
        <d v="2015-06-26T00:00:00" u="1"/>
        <d v="2020-10-15T00:00:00" u="1"/>
        <d v="2016-06-26T00:00:00" u="1"/>
        <d v="2018-06-26T00:00:00" u="1"/>
        <d v="2019-06-26T00:00:00" u="1"/>
        <d v="2020-06-26T00:00:00" u="1"/>
        <d v="2011-11-15T00:00:00" u="1"/>
        <d v="2013-11-15T00:00:00" u="1"/>
        <d v="2015-11-15T00:00:00" u="1"/>
        <d v="2016-11-15T00:00:00" u="1"/>
        <d v="2013-07-26T00:00:00" u="1"/>
        <d v="2019-11-15T00:00:00" u="1"/>
        <d v="2015-07-26T00:00:00" u="1"/>
        <d v="2020-11-15T00:00:00" u="1"/>
        <d v="2017-07-26T00:00:00" u="1"/>
        <d v="2018-07-26T00:00:00" u="1"/>
        <d v="2019-07-26T00:00:00" u="1"/>
        <d v="2020-07-26T00:00:00" u="1"/>
        <d v="2011-12-15T00:00:00" u="1"/>
        <d v="2012-12-15T00:00:00" u="1"/>
        <d v="2015-12-15T00:00:00" u="1"/>
        <d v="2011-08-26T00:00:00" u="1"/>
        <d v="2016-12-15T00:00:00" u="1"/>
        <d v="2017-12-15T00:00:00" u="1"/>
        <d v="2013-08-26T00:00:00" u="1"/>
        <d v="2019-12-15T00:00:00" u="1"/>
        <d v="2015-08-26T00:00:00" u="1"/>
        <d v="2020-12-15T00:00:00" u="1"/>
        <d v="2016-08-26T00:00:00" u="1"/>
        <d v="2018-08-26T00:00:00" u="1"/>
        <d v="2019-08-26T00:00:00" u="1"/>
        <d v="2020-08-26T00:00:00" u="1"/>
        <d v="2011-01-05T00:00:00" u="1"/>
        <d v="2012-01-05T00:00:00" u="1"/>
        <d v="2013-01-05T00:00:00" u="1"/>
        <d v="2014-01-05T00:00:00" u="1"/>
        <d v="2016-01-05T00:00:00" u="1"/>
        <d v="2017-01-05T00:00:00" u="1"/>
        <d v="2018-01-05T00:00:00" u="1"/>
        <d v="2020-01-05T00:00:00" u="1"/>
        <d v="2021-01-05T00:00:00" u="1"/>
        <d v="2013-09-26T00:00:00" u="1"/>
        <d v="2015-09-26T00:00:00" u="1"/>
        <d v="2016-09-26T00:00:00" u="1"/>
        <d v="2019-09-26T00:00:00" u="1"/>
        <d v="2020-09-26T00:00:00" u="1"/>
        <d v="2013-02-05T00:00:00" u="1"/>
        <d v="2014-02-05T00:00:00" u="1"/>
        <d v="2016-02-05T00:00:00" u="1"/>
        <d v="2017-02-05T00:00:00" u="1"/>
        <d v="2018-02-05T00:00:00" u="1"/>
        <d v="2019-02-05T00:00:00" u="1"/>
        <d v="2020-02-05T00:00:00" u="1"/>
        <d v="2021-02-05T00:00:00" u="1"/>
        <d v="2013-10-26T00:00:00" u="1"/>
        <d v="2015-10-26T00:00:00" u="1"/>
        <d v="2016-10-26T00:00:00" u="1"/>
        <d v="2019-10-26T00:00:00" u="1"/>
        <d v="2020-10-26T00:00:00" u="1"/>
        <d v="2014-03-05T00:00:00" u="1"/>
        <d v="2016-03-05T00:00:00" u="1"/>
        <d v="2018-03-05T00:00:00" u="1"/>
        <d v="2019-03-05T00:00:00" u="1"/>
        <d v="2020-03-05T00:00:00" u="1"/>
        <d v="2021-03-05T00:00:00" u="1"/>
        <d v="2013-11-26T00:00:00" u="1"/>
        <d v="2015-11-26T00:00:00" u="1"/>
        <d v="2019-11-26T00:00:00" u="1"/>
        <d v="2020-11-26T00:00:00" u="1"/>
        <d v="2012-04-05T00:00:00" u="1"/>
        <d v="2015-04-05T00:00:00" u="1"/>
        <d v="2016-04-05T00:00:00" u="1"/>
        <d v="2018-04-05T00:00:00" u="1"/>
        <d v="2019-04-05T00:00:00" u="1"/>
        <d v="2020-04-05T00:00:00" u="1"/>
        <d v="2011-12-26T00:00:00" u="1"/>
        <d v="2021-04-05T00:00:00" u="1"/>
        <d v="2012-12-26T00:00:00" u="1"/>
        <d v="2013-12-26T00:00:00" u="1"/>
        <d v="2015-12-26T00:00:00" u="1"/>
        <d v="2016-12-26T00:00:00" u="1"/>
        <d v="2017-12-26T00:00:00" u="1"/>
        <d v="2019-12-26T00:00:00" u="1"/>
        <d v="2020-12-26T00:00:00" u="1"/>
        <d v="2013-05-05T00:00:00" u="1"/>
        <d v="2015-05-05T00:00:00" u="1"/>
        <d v="2011-01-16T00:00:00" u="1"/>
        <d v="2016-05-05T00:00:00" u="1"/>
        <d v="2013-01-16T00:00:00" u="1"/>
        <d v="2018-05-05T00:00:00" u="1"/>
        <d v="2014-01-16T00:00:00" u="1"/>
        <d v="2019-05-05T00:00:00" u="1"/>
        <d v="2016-01-16T00:00:00" u="1"/>
        <d v="2017-01-16T00:00:00" u="1"/>
        <d v="2018-01-16T00:00:00" u="1"/>
        <d v="2020-01-16T00:00:00" u="1"/>
        <d v="2021-01-16T00:00:00" u="1"/>
        <d v="2013-06-05T00:00:00" u="1"/>
        <d v="2015-06-05T00:00:00" u="1"/>
        <d v="2016-06-05T00:00:00" u="1"/>
        <d v="2013-02-16T00:00:00" u="1"/>
        <d v="2018-06-05T00:00:00" u="1"/>
        <d v="2014-02-16T00:00:00" u="1"/>
        <d v="2019-06-05T00:00:00" u="1"/>
        <d v="2020-06-05T00:00:00" u="1"/>
        <d v="2016-02-16T00:00:00" u="1"/>
        <d v="2017-02-16T00:00:00" u="1"/>
        <d v="2019-02-16T00:00:00" u="1"/>
        <d v="2020-02-16T00:00:00" u="1"/>
        <d v="2021-02-16T00:00:00" u="1"/>
        <d v="2013-07-05T00:00:00" u="1"/>
        <d v="2015-07-05T00:00:00" u="1"/>
        <d v="2016-07-05T00:00:00" u="1"/>
        <d v="2017-07-05T00:00:00" u="1"/>
        <d v="2018-07-05T00:00:00" u="1"/>
        <d v="2014-03-16T00:00:00" u="1"/>
        <d v="2019-07-05T00:00:00" u="1"/>
        <d v="2020-07-05T00:00:00" u="1"/>
        <d v="2016-03-16T00:00:00" u="1"/>
        <d v="2019-03-16T00:00:00" u="1"/>
        <d v="2020-03-16T00:00:00" u="1"/>
        <d v="1904-05-16T00:00:00" u="1"/>
        <d v="1900-01-26T00:00:00" u="1"/>
        <d v="2011-08-05T00:00:00" u="1"/>
        <d v="2013-08-05T00:00:00" u="1"/>
        <d v="2015-08-05T00:00:00" u="1"/>
        <d v="2016-08-05T00:00:00" u="1"/>
        <d v="2012-04-16T00:00:00" u="1"/>
        <d v="2018-08-05T00:00:00" u="1"/>
        <d v="2019-08-05T00:00:00" u="1"/>
        <d v="2015-04-16T00:00:00" u="1"/>
        <d v="2020-08-05T00:00:00" u="1"/>
        <d v="2016-04-16T00:00:00" u="1"/>
        <d v="2019-04-16T00:00:00" u="1"/>
        <d v="2020-04-16T00:00:00" u="1"/>
        <d v="2021-04-16T00:00:00" u="1"/>
        <d v="2013-09-05T00:00:00" u="1"/>
        <d v="2015-09-05T00:00:00" u="1"/>
        <d v="2016-09-05T00:00:00" u="1"/>
        <d v="2013-05-16T00:00:00" u="1"/>
        <d v="2019-09-05T00:00:00" u="1"/>
        <d v="2020-09-05T00:00:00" u="1"/>
        <d v="2011-01-27T00:00:00" u="1"/>
        <d v="2016-05-16T00:00:00" u="1"/>
        <d v="2013-01-27T00:00:00" u="1"/>
        <d v="2018-05-16T00:00:00" u="1"/>
        <d v="2014-01-27T00:00:00" u="1"/>
        <d v="2019-05-16T00:00:00" u="1"/>
        <d v="2020-05-16T00:00:00" u="1"/>
        <d v="2016-01-27T00:00:00" u="1"/>
        <d v="2017-01-27T00:00:00" u="1"/>
        <d v="2018-01-27T00:00:00" u="1"/>
        <d v="2020-01-27T00:00:00" u="1"/>
        <d v="2021-01-27T00:00:00" u="1"/>
        <d v="2013-10-05T00:00:00" u="1"/>
        <d v="2015-10-05T00:00:00" u="1"/>
        <d v="2016-10-05T00:00:00" u="1"/>
        <d v="2013-06-16T00:00:00" u="1"/>
        <d v="2019-10-05T00:00:00" u="1"/>
        <d v="2015-06-16T00:00:00" u="1"/>
        <d v="2020-10-05T00:00:00" u="1"/>
        <d v="2016-06-16T00:00:00" u="1"/>
        <d v="2013-02-27T00:00:00" u="1"/>
        <d v="2018-06-16T00:00:00" u="1"/>
        <d v="2014-02-27T00:00:00" u="1"/>
        <d v="2019-06-16T00:00:00" u="1"/>
        <d v="2020-06-16T00:00:00" u="1"/>
        <d v="2016-02-27T00:00:00" u="1"/>
        <d v="2020-02-27T00:00:00" u="1"/>
        <d v="2021-02-27T00:00:00" u="1"/>
        <d v="2013-11-05T00:00:00" u="1"/>
        <d v="2015-11-05T00:00:00" u="1"/>
        <d v="2016-11-05T00:00:00" u="1"/>
        <d v="2013-07-16T00:00:00" u="1"/>
        <d v="2019-11-05T00:00:00" u="1"/>
        <d v="2015-07-16T00:00:00" u="1"/>
        <d v="2020-11-05T00:00:00" u="1"/>
        <d v="2016-07-16T00:00:00" u="1"/>
        <d v="2017-07-16T00:00:00" u="1"/>
        <d v="2018-07-16T00:00:00" u="1"/>
        <d v="2019-07-16T00:00:00" u="1"/>
        <d v="2020-07-16T00:00:00" u="1"/>
        <d v="2016-03-27T00:00:00" u="1"/>
        <d v="2019-03-27T00:00:00" u="1"/>
        <d v="2020-03-27T00:00:00" u="1"/>
        <d v="2011-12-05T00:00:00" u="1"/>
        <d v="2012-12-05T00:00:00" u="1"/>
        <d v="2013-12-05T00:00:00" u="1"/>
        <d v="2015-12-05T00:00:00" u="1"/>
        <d v="2011-08-16T00:00:00" u="1"/>
        <d v="2016-12-05T00:00:00" u="1"/>
        <d v="2017-12-05T00:00:00" u="1"/>
        <d v="2013-08-16T00:00:00" u="1"/>
        <d v="2019-12-05T00:00:00" u="1"/>
        <d v="2015-08-16T00:00:00" u="1"/>
        <d v="2020-12-05T00:00:00" u="1"/>
        <d v="2016-08-16T00:00:00" u="1"/>
        <d v="2012-04-27T00:00:00" u="1"/>
        <d v="2018-08-16T00:00:00" u="1"/>
        <d v="2019-08-16T00:00:00" u="1"/>
        <d v="2020-08-16T00:00:00" u="1"/>
        <d v="2016-04-27T00:00:00" u="1"/>
        <d v="2019-04-27T00:00:00" u="1"/>
        <d v="2020-04-27T00:00:00" u="1"/>
        <d v="2021-04-27T00:00:00" u="1"/>
        <d v="2013-09-16T00:00:00" u="1"/>
        <d v="2015-09-16T00:00:00" u="1"/>
        <d v="2016-09-16T00:00:00" u="1"/>
        <d v="2013-05-27T00:00:00" u="1"/>
        <d v="2019-09-16T00:00:00" u="1"/>
        <d v="2020-09-16T00:00:00" u="1"/>
        <d v="2016-05-27T00:00:00" u="1"/>
        <d v="2019-05-27T00:00:00" u="1"/>
        <d v="2020-05-27T00:00:00" u="1"/>
        <d v="2013-10-16T00:00:00" u="1"/>
        <d v="2015-10-16T00:00:00" u="1"/>
        <d v="2016-10-16T00:00:00" u="1"/>
        <d v="2013-06-27T00:00:00" u="1"/>
        <d v="2018-10-16T00:00:00" u="1"/>
        <d v="2019-10-16T00:00:00" u="1"/>
        <d v="2015-06-27T00:00:00" u="1"/>
        <d v="2020-10-16T00:00:00" u="1"/>
        <d v="2016-06-27T00:00:00" u="1"/>
        <d v="2018-06-27T00:00:00" u="1"/>
        <d v="2019-06-27T00:00:00" u="1"/>
        <d v="2020-06-27T00:00:00" u="1"/>
        <d v="2029-10-16T00:00:00" u="1"/>
        <d v="2011-11-16T00:00:00" u="1"/>
        <d v="2013-11-16T00:00:00" u="1"/>
        <d v="2015-11-16T00:00:00" u="1"/>
        <d v="2016-11-16T00:00:00" u="1"/>
        <d v="2013-07-27T00:00:00" u="1"/>
        <d v="2019-11-16T00:00:00" u="1"/>
        <d v="2015-07-27T00:00:00" u="1"/>
        <d v="2020-11-16T00:00:00" u="1"/>
        <d v="2017-07-27T00:00:00" u="1"/>
        <d v="1900-01-05T00:00:00" u="1"/>
        <d v="2018-07-27T00:00:00" u="1"/>
        <d v="2019-07-27T00:00:00" u="1"/>
        <d v="2020-07-27T00:00:00" u="1"/>
        <d v="2011-12-16T00:00:00" u="1"/>
        <d v="2012-12-16T00:00:00" u="1"/>
        <d v="2013-12-16T00:00:00" u="1"/>
        <d v="2015-12-16T00:00:00" u="1"/>
        <d v="2011-08-27T00:00:00" u="1"/>
        <d v="2016-12-16T00:00:00" u="1"/>
        <d v="2017-12-16T00:00:00" u="1"/>
        <d v="2013-08-27T00:00:00" u="1"/>
        <d v="2018-12-16T00:00:00" u="1"/>
        <d v="2019-12-16T00:00:00" u="1"/>
        <d v="2015-08-27T00:00:00" u="1"/>
        <d v="2020-12-16T00:00:00" u="1"/>
        <d v="2016-08-27T00:00:00" u="1"/>
        <d v="2018-08-27T00:00:00" u="1"/>
        <d v="2019-08-27T00:00:00" u="1"/>
        <d v="2020-08-27T00:00:00" u="1"/>
        <d v="2011-01-06T00:00:00" u="1"/>
        <d v="2013-01-06T00:00:00" u="1"/>
        <d v="2014-01-06T00:00:00" u="1"/>
        <d v="2016-01-06T00:00:00" u="1"/>
        <d v="2017-01-06T00:00:00" u="1"/>
        <d v="2018-01-06T00:00:00" u="1"/>
        <d v="2020-01-06T00:00:00" u="1"/>
        <d v="2021-01-06T00:00:00" u="1"/>
        <d v="2013-09-27T00:00:00" u="1"/>
        <d v="2015-09-27T00:00:00" u="1"/>
        <d v="2016-09-27T00:00:00" u="1"/>
        <d v="2019-09-27T00:00:00" u="1"/>
        <d v="2020-09-27T00:00:00" u="1"/>
        <d v="2013-02-06T00:00:00" u="1"/>
        <d v="2014-02-06T00:00:00" u="1"/>
        <d v="2016-02-06T00:00:00" u="1"/>
        <d v="2017-02-06T00:00:00" u="1"/>
        <d v="2018-02-06T00:00:00" u="1"/>
        <d v="2020-02-06T00:00:00" u="1"/>
        <d v="2021-02-06T00:00:00" u="1"/>
        <d v="2013-10-27T00:00:00" u="1"/>
        <d v="2015-10-27T00:00:00" u="1"/>
        <d v="2016-10-27T00:00:00" u="1"/>
        <d v="2019-10-27T00:00:00" u="1"/>
        <d v="2020-10-27T00:00:00" u="1"/>
        <d v="2014-03-06T00:00:00" u="1"/>
        <d v="2016-03-06T00:00:00" u="1"/>
        <d v="2018-03-06T00:00:00" u="1"/>
        <d v="2019-03-06T00:00:00" u="1"/>
        <d v="2020-03-06T00:00:00" u="1"/>
        <d v="2021-03-06T00:00:00" u="1"/>
        <d v="2013-11-27T00:00:00" u="1"/>
        <d v="2015-11-27T00:00:00" u="1"/>
        <d v="2019-11-27T00:00:00" u="1"/>
        <d v="2020-11-27T00:00:00" u="1"/>
        <d v="2012-04-06T00:00:00" u="1"/>
        <d v="2015-04-06T00:00:00" u="1"/>
        <d v="2016-04-06T00:00:00" u="1"/>
        <d v="2018-04-06T00:00:00" u="1"/>
        <d v="2019-04-06T00:00:00" u="1"/>
        <d v="2020-04-06T00:00:00" u="1"/>
        <d v="2011-12-27T00:00:00" u="1"/>
        <d v="2021-04-06T00:00:00" u="1"/>
        <d v="2012-12-27T00:00:00" u="1"/>
        <d v="2013-12-27T00:00:00" u="1"/>
        <d v="2015-12-27T00:00:00" u="1"/>
        <d v="2016-12-27T00:00:00" u="1"/>
        <d v="2017-12-27T00:00:00" u="1"/>
        <d v="2019-12-27T00:00:00" u="1"/>
        <d v="2020-12-27T00:00:00" u="1"/>
        <d v="2013-05-06T00:00:00" u="1"/>
        <d v="2011-01-17T00:00:00" u="1"/>
        <d v="2016-05-06T00:00:00" u="1"/>
        <d v="2013-01-17T00:00:00" u="1"/>
        <d v="2018-05-06T00:00:00" u="1"/>
        <d v="2014-01-17T00:00:00" u="1"/>
        <d v="2019-05-06T00:00:00" u="1"/>
        <d v="2016-01-17T00:00:00" u="1"/>
        <d v="2017-01-17T00:00:00" u="1"/>
        <d v="2018-01-17T00:00:00" u="1"/>
        <d v="2020-01-17T00:00:00" u="1"/>
        <d v="2021-01-17T00:00:00" u="1"/>
        <d v="1900-07-06T00:00:00" u="1"/>
        <d v="2013-06-06T00:00:00" u="1"/>
        <d v="2015-06-06T00:00:00" u="1"/>
        <d v="2016-06-06T00:00:00" u="1"/>
        <d v="2013-02-17T00:00:00" u="1"/>
        <d v="2018-06-06T00:00:00" u="1"/>
        <d v="2014-02-17T00:00:00" u="1"/>
        <d v="2019-06-06T00:00:00" u="1"/>
        <d v="2020-06-06T00:00:00" u="1"/>
        <d v="2016-02-17T00:00:00" u="1"/>
        <d v="2017-02-17T00:00:00" u="1"/>
        <d v="2020-02-17T00:00:00" u="1"/>
        <d v="2021-02-17T00:00:00" u="1"/>
        <d v="2013-07-06T00:00:00" u="1"/>
        <d v="2015-07-06T00:00:00" u="1"/>
        <d v="2016-07-06T00:00:00" u="1"/>
        <d v="2017-07-06T00:00:00" u="1"/>
        <d v="2018-07-06T00:00:00" u="1"/>
        <d v="2014-03-17T00:00:00" u="1"/>
        <d v="2019-07-06T00:00:00" u="1"/>
        <d v="2016-03-17T00:00:00" u="1"/>
        <d v="2019-03-17T00:00:00" u="1"/>
        <d v="2020-03-17T00:00:00" u="1"/>
        <d v="2011-08-06T00:00:00" u="1"/>
        <d v="2013-08-06T00:00:00" u="1"/>
        <d v="2015-08-06T00:00:00" u="1"/>
        <d v="2016-08-06T00:00:00" u="1"/>
        <d v="2012-04-17T00:00:00" u="1"/>
        <d v="2018-08-06T00:00:00" u="1"/>
        <d v="2019-08-06T00:00:00" u="1"/>
        <d v="2015-04-17T00:00:00" u="1"/>
        <d v="2020-08-06T00:00:00" u="1"/>
        <d v="2016-04-17T00:00:00" u="1"/>
        <d v="2019-04-17T00:00:00" u="1"/>
        <d v="2020-04-17T00:00:00" u="1"/>
        <d v="2021-04-17T00:00:00" u="1"/>
        <d v="2013-09-06T00:00:00" u="1"/>
        <d v="2015-09-06T00:00:00" u="1"/>
        <d v="2016-09-06T00:00:00" u="1"/>
        <d v="2013-05-17T00:00:00" u="1"/>
        <d v="2019-09-06T00:00:00" u="1"/>
        <d v="2020-09-06T00:00:00" u="1"/>
        <d v="2011-01-28T00:00:00" u="1"/>
        <d v="2016-05-17T00:00:00" u="1"/>
        <d v="2013-01-28T00:00:00" u="1"/>
        <d v="2018-05-17T00:00:00" u="1"/>
        <d v="2014-01-28T00:00:00" u="1"/>
        <d v="2019-05-17T00:00:00" u="1"/>
        <d v="2020-05-17T00:00:00" u="1"/>
        <d v="2016-01-28T00:00:00" u="1"/>
        <d v="2017-01-28T00:00:00" u="1"/>
        <d v="2018-01-28T00:00:00" u="1"/>
        <d v="2020-01-28T00:00:00" u="1"/>
        <d v="2021-01-28T00:00:00" u="1"/>
        <d v="2013-10-06T00:00:00" u="1"/>
        <d v="2015-10-06T00:00:00" u="1"/>
        <d v="2016-10-06T00:00:00" u="1"/>
        <d v="2013-06-17T00:00:00" u="1"/>
        <d v="2019-10-06T00:00:00" u="1"/>
        <d v="2015-06-17T00:00:00" u="1"/>
        <d v="2020-10-06T00:00:00" u="1"/>
        <d v="2016-06-17T00:00:00" u="1"/>
        <d v="2013-02-28T00:00:00" u="1"/>
        <d v="2018-06-17T00:00:00" u="1"/>
        <d v="2014-02-28T00:00:00" u="1"/>
        <d v="2019-06-17T00:00:00" u="1"/>
        <d v="2020-06-17T00:00:00" u="1"/>
        <d v="2016-02-28T00:00:00" u="1"/>
        <d v="2020-02-28T00:00:00" u="1"/>
        <d v="2021-02-28T00:00:00" u="1"/>
        <d v="2013-11-06T00:00:00" u="1"/>
        <d v="2015-11-06T00:00:00" u="1"/>
        <d v="2016-11-06T00:00:00" u="1"/>
        <d v="2013-07-17T00:00:00" u="1"/>
        <d v="2019-11-06T00:00:00" u="1"/>
        <d v="2015-07-17T00:00:00" u="1"/>
        <d v="2020-11-06T00:00:00" u="1"/>
        <d v="2016-07-17T00:00:00" u="1"/>
        <d v="2017-07-17T00:00:00" u="1"/>
        <d v="2018-07-17T00:00:00" u="1"/>
        <d v="2019-07-17T00:00:00" u="1"/>
        <d v="2020-07-17T00:00:00" u="1"/>
        <d v="2016-03-28T00:00:00" u="1"/>
        <d v="2019-03-28T00:00:00" u="1"/>
        <d v="2020-03-28T00:00:00" u="1"/>
        <d v="2011-12-06T00:00:00" u="1"/>
        <d v="2012-12-06T00:00:00" u="1"/>
        <d v="2013-12-06T00:00:00" u="1"/>
        <d v="2015-12-06T00:00:00" u="1"/>
        <d v="2011-08-17T00:00:00" u="1"/>
        <d v="2016-12-06T00:00:00" u="1"/>
        <d v="2017-12-06T00:00:00" u="1"/>
        <d v="2013-08-17T00:00:00" u="1"/>
        <d v="2019-12-06T00:00:00" u="1"/>
        <d v="2015-08-17T00:00:00" u="1"/>
        <d v="2020-12-06T00:00:00" u="1"/>
        <d v="2016-08-17T00:00:00" u="1"/>
        <d v="2021-12-06T00:00:00" u="1"/>
        <d v="2012-04-28T00:00:00" u="1"/>
        <d v="2018-08-17T00:00:00" u="1"/>
        <d v="2019-08-17T00:00:00" u="1"/>
        <d v="2020-08-17T00:00:00" u="1"/>
        <d v="2016-04-28T00:00:00" u="1"/>
        <d v="2019-04-28T00:00:00" u="1"/>
        <d v="2020-04-28T00:00:00" u="1"/>
        <d v="2021-04-28T00:00:00" u="1"/>
        <d v="2013-09-17T00:00:00" u="1"/>
        <d v="2015-09-17T00:00:00" u="1"/>
        <d v="2016-09-17T00:00:00" u="1"/>
        <d v="2013-05-28T00:00:00" u="1"/>
        <d v="2019-09-17T00:00:00" u="1"/>
        <d v="2020-09-17T00:00:00" u="1"/>
        <d v="2016-05-28T00:00:00" u="1"/>
        <d v="2019-05-28T00:00:00" u="1"/>
        <d v="2020-05-28T00:00:00" u="1"/>
        <d v="2013-10-17T00:00:00" u="1"/>
        <d v="2015-10-17T00:00:00" u="1"/>
        <d v="2016-10-17T00:00:00" u="1"/>
        <d v="2013-06-28T00:00:00" u="1"/>
        <d v="2019-10-17T00:00:00" u="1"/>
        <d v="2015-06-28T00:00:00" u="1"/>
        <d v="2020-10-17T00:00:00" u="1"/>
        <d v="2016-06-28T00:00:00" u="1"/>
        <d v="2018-06-28T00:00:00" u="1"/>
        <d v="2019-06-28T00:00:00" u="1"/>
        <d v="2020-06-28T00:00:00" u="1"/>
        <d v="2011-11-17T00:00:00" u="1"/>
        <d v="2013-11-17T00:00:00" u="1"/>
        <d v="2015-11-17T00:00:00" u="1"/>
        <d v="2016-11-17T00:00:00" u="1"/>
        <d v="2013-07-28T00:00:00" u="1"/>
        <d v="2019-11-17T00:00:00" u="1"/>
        <d v="2015-07-28T00:00:00" u="1"/>
        <d v="2020-11-17T00:00:00" u="1"/>
        <d v="2017-07-28T00:00:00" u="1"/>
        <d v="1900-01-06T00:00:00" u="1"/>
        <d v="2018-07-28T00:00:00" u="1"/>
        <d v="2019-07-28T00:00:00" u="1"/>
        <d v="2020-07-28T00:00:00" u="1"/>
        <d v="2012-12-17T00:00:00" u="1"/>
        <d v="2013-12-17T00:00:00" u="1"/>
        <d v="2015-12-17T00:00:00" u="1"/>
        <d v="2011-08-28T00:00:00" u="1"/>
        <d v="2016-12-17T00:00:00" u="1"/>
        <d v="2017-12-17T00:00:00" u="1"/>
        <d v="2013-08-28T00:00:00" u="1"/>
        <d v="2019-12-17T00:00:00" u="1"/>
        <d v="2015-08-28T00:00:00" u="1"/>
        <d v="2020-12-17T00:00:00" u="1"/>
        <d v="2016-08-28T00:00:00" u="1"/>
        <d v="2018-08-28T00:00:00" u="1"/>
        <d v="2019-08-28T00:00:00" u="1"/>
        <d v="2020-08-28T00:00:00" u="1"/>
        <d v="2011-01-07T00:00:00" u="1"/>
        <d v="2013-01-07T00:00:00" u="1"/>
        <d v="2014-01-07T00:00:00" u="1"/>
        <d v="2016-01-07T00:00:00" u="1"/>
        <d v="2017-01-07T00:00:00" u="1"/>
        <d v="2018-01-07T00:00:00" u="1"/>
        <d v="2020-01-07T00:00:00" u="1"/>
        <d v="2021-01-07T00:00:00" u="1"/>
        <d v="2013-09-28T00:00:00" u="1"/>
        <d v="2015-09-28T00:00:00" u="1"/>
        <d v="2016-09-28T00:00:00" u="1"/>
        <d v="2019-09-28T00:00:00" u="1"/>
        <d v="2020-09-28T00:00:00" u="1"/>
        <d v="2013-02-07T00:00:00" u="1"/>
        <d v="2014-02-07T00:00:00" u="1"/>
        <d v="2016-02-07T00:00:00" u="1"/>
        <d v="2017-02-07T00:00:00" u="1"/>
        <d v="2018-02-07T00:00:00" u="1"/>
        <d v="2019-02-07T00:00:00" u="1"/>
        <d v="2020-02-07T00:00:00" u="1"/>
        <d v="2021-02-07T00:00:00" u="1"/>
        <d v="2013-10-28T00:00:00" u="1"/>
        <d v="2015-10-28T00:00:00" u="1"/>
        <d v="2016-10-28T00:00:00" u="1"/>
        <d v="2019-10-28T00:00:00" u="1"/>
        <d v="2020-10-28T00:00:00" u="1"/>
        <d v="2014-03-07T00:00:00" u="1"/>
        <d v="2016-03-07T00:00:00" u="1"/>
        <d v="2018-03-07T00:00:00" u="1"/>
        <d v="2019-03-07T00:00:00" u="1"/>
        <d v="2020-03-07T00:00:00" u="1"/>
        <d v="2011-11-28T00:00:00" u="1"/>
        <d v="2021-03-07T00:00:00" u="1"/>
        <d v="2013-11-28T00:00:00" u="1"/>
        <d v="2015-11-28T00:00:00" u="1"/>
        <d v="2019-11-28T00:00:00" u="1"/>
        <d v="2020-11-28T00:00:00" u="1"/>
        <d v="2012-04-07T00:00:00" u="1"/>
        <d v="2015-04-07T00:00:00" u="1"/>
        <d v="2016-04-07T00:00:00" u="1"/>
        <d v="2018-04-07T00:00:00" u="1"/>
        <d v="2019-04-07T00:00:00" u="1"/>
        <d v="2020-04-07T00:00:00" u="1"/>
        <d v="2011-12-28T00:00:00" u="1"/>
        <d v="2021-04-07T00:00:00" u="1"/>
        <d v="2012-12-28T00:00:00" u="1"/>
        <d v="2013-12-28T00:00:00" u="1"/>
        <d v="2015-12-28T00:00:00" u="1"/>
        <d v="2016-12-28T00:00:00" u="1"/>
        <d v="2017-12-28T00:00:00" u="1"/>
        <d v="2019-12-28T00:00:00" u="1"/>
        <d v="2020-12-28T00:00:00" u="1"/>
        <d v="2013-05-07T00:00:00" u="1"/>
        <d v="2011-01-18T00:00:00" u="1"/>
        <d v="2016-05-07T00:00:00" u="1"/>
        <d v="2013-01-18T00:00:00" u="1"/>
        <d v="2018-05-07T00:00:00" u="1"/>
        <d v="2014-01-18T00:00:00" u="1"/>
        <d v="2019-05-07T00:00:00" u="1"/>
        <d v="2020-05-07T00:00:00" u="1"/>
        <d v="2016-01-18T00:00:00" u="1"/>
        <d v="2017-01-18T00:00:00" u="1"/>
        <d v="2018-01-18T00:00:00" u="1"/>
        <d v="2020-01-18T00:00:00" u="1"/>
        <d v="2021-01-18T00:00:00" u="1"/>
        <d v="1900-07-07T00:00:00" u="1"/>
        <d v="2013-06-07T00:00:00" u="1"/>
        <d v="2015-06-07T00:00:00" u="1"/>
        <d v="2016-06-07T00:00:00" u="1"/>
        <d v="2013-02-18T00:00:00" u="1"/>
        <d v="2018-06-07T00:00:00" u="1"/>
        <d v="2014-02-18T00:00:00" u="1"/>
        <d v="2019-06-07T00:00:00" u="1"/>
        <d v="2020-06-07T00:00:00" u="1"/>
        <d v="2016-02-18T00:00:00" u="1"/>
        <d v="2017-02-18T00:00:00" u="1"/>
        <d v="2020-02-18T00:00:00" u="1"/>
        <d v="2021-02-18T00:00:00" u="1"/>
        <d v="2003-07-07T00:00:00" u="1"/>
        <d v="2013-07-07T00:00:00" u="1"/>
        <d v="2015-07-07T00:00:00" u="1"/>
        <d v="2016-07-07T00:00:00" u="1"/>
        <d v="2017-07-07T00:00:00" u="1"/>
        <d v="2018-07-07T00:00:00" u="1"/>
        <d v="2014-03-18T00:00:00" u="1"/>
        <d v="2019-07-07T00:00:00" u="1"/>
        <d v="2016-03-18T00:00:00" u="1"/>
        <d v="2019-03-18T00:00:00" u="1"/>
        <d v="2020-03-18T00:00:00" u="1"/>
        <d v="1927-05-18T00:00:00" u="1"/>
        <d v="2011-08-07T00:00:00" u="1"/>
        <d v="2013-08-07T00:00:00" u="1"/>
        <d v="2015-08-07T00:00:00" u="1"/>
        <d v="2016-08-07T00:00:00" u="1"/>
        <d v="2012-04-18T00:00:00" u="1"/>
        <d v="2018-08-07T00:00:00" u="1"/>
        <d v="2019-08-07T00:00:00" u="1"/>
        <d v="2015-04-18T00:00:00" u="1"/>
        <d v="2020-08-07T00:00:00" u="1"/>
        <d v="2016-04-18T00:00:00" u="1"/>
        <d v="2019-04-18T00:00:00" u="1"/>
        <d v="2020-04-18T00:00:00" u="1"/>
        <d v="2021-04-18T00:00:00" u="1"/>
        <d v="2013-09-07T00:00:00" u="1"/>
        <d v="2015-09-07T00:00:00" u="1"/>
        <d v="2016-09-07T00:00:00" u="1"/>
        <d v="2013-05-18T00:00:00" u="1"/>
        <d v="2019-09-07T00:00:00" u="1"/>
        <d v="2020-09-07T00:00:00" u="1"/>
        <d v="2011-01-29T00:00:00" u="1"/>
        <d v="2016-05-18T00:00:00" u="1"/>
        <d v="2013-01-29T00:00:00" u="1"/>
        <d v="2014-01-29T00:00:00" u="1"/>
        <d v="2019-05-18T00:00:00" u="1"/>
        <d v="2020-05-18T00:00:00" u="1"/>
        <d v="2016-01-29T00:00:00" u="1"/>
        <d v="2017-01-29T00:00:00" u="1"/>
        <d v="2018-01-29T00:00:00" u="1"/>
        <d v="2020-01-29T00:00:00" u="1"/>
        <d v="2021-01-29T00:00:00" u="1"/>
        <d v="2013-10-07T00:00:00" u="1"/>
        <d v="2015-10-07T00:00:00" u="1"/>
        <d v="2016-10-07T00:00:00" u="1"/>
        <d v="2013-06-18T00:00:00" u="1"/>
        <d v="2019-10-07T00:00:00" u="1"/>
        <d v="2015-06-18T00:00:00" u="1"/>
        <d v="2020-10-07T00:00:00" u="1"/>
        <d v="2016-06-18T00:00:00" u="1"/>
        <d v="2018-06-18T00:00:00" u="1"/>
        <d v="2019-06-18T00:00:00" u="1"/>
        <d v="2020-06-18T00:00:00" u="1"/>
        <d v="2016-02-29T00:00:00" u="1"/>
        <d v="2020-02-29T00:00:00" u="1"/>
        <d v="2011-11-07T00:00:00" u="1"/>
        <d v="2013-11-07T00:00:00" u="1"/>
        <d v="2015-11-07T00:00:00" u="1"/>
        <d v="2016-11-07T00:00:00" u="1"/>
        <d v="2013-07-18T00:00:00" u="1"/>
        <d v="2019-11-07T00:00:00" u="1"/>
        <d v="2015-07-18T00:00:00" u="1"/>
        <d v="2020-11-07T00:00:00" u="1"/>
        <d v="2016-07-18T00:00:00" u="1"/>
        <d v="2017-07-18T00:00:00" u="1"/>
        <d v="2018-07-18T00:00:00" u="1"/>
        <d v="2019-07-18T00:00:00" u="1"/>
        <d v="2020-07-18T00:00:00" u="1"/>
        <d v="2016-03-29T00:00:00" u="1"/>
        <d v="2019-03-29T00:00:00" u="1"/>
        <d v="2020-03-29T00:00:00" u="1"/>
        <d v="1927-05-29T00:00:00" u="1"/>
        <d v="2011-12-07T00:00:00" u="1"/>
        <d v="2012-12-07T00:00:00" u="1"/>
        <d v="2013-12-07T00:00:00" u="1"/>
        <d v="2015-12-07T00:00:00" u="1"/>
        <d v="2011-08-18T00:00:00" u="1"/>
        <d v="2016-12-07T00:00:00" u="1"/>
        <d v="2017-12-07T00:00:00" u="1"/>
        <d v="2013-08-18T00:00:00" u="1"/>
        <d v="2019-12-07T00:00:00" u="1"/>
        <d v="2015-08-18T00:00:00" u="1"/>
        <d v="2020-12-07T00:00:00" u="1"/>
        <d v="2016-08-18T00:00:00" u="1"/>
        <d v="2012-04-29T00:00:00" u="1"/>
        <d v="2018-08-18T00:00:00" u="1"/>
        <d v="2019-08-18T00:00:00" u="1"/>
        <d v="2020-08-18T00:00:00" u="1"/>
        <d v="2016-04-29T00:00:00" u="1"/>
        <d v="2019-04-29T00:00:00" u="1"/>
        <d v="2020-04-29T00:00:00" u="1"/>
        <d v="2021-04-29T00:00:00" u="1"/>
        <d v="2015-09-18T00:00:00" u="1"/>
        <d v="2016-09-18T00:00:00" u="1"/>
        <d v="2013-05-29T00:00:00" u="1"/>
        <d v="2019-09-18T00:00:00" u="1"/>
        <d v="2020-09-18T00:00:00" u="1"/>
        <d v="2016-05-29T00:00:00" u="1"/>
        <d v="2019-05-29T00:00:00" u="1"/>
        <d v="2020-05-29T00:00:00" u="1"/>
        <d v="2013-10-18T00:00:00" u="1"/>
        <d v="2015-10-18T00:00:00" u="1"/>
        <d v="2016-10-18T00:00:00" u="1"/>
        <d v="2013-06-29T00:00:00" u="1"/>
        <d v="2019-10-18T00:00:00" u="1"/>
        <d v="2020-10-18T00:00:00" u="1"/>
        <d v="2016-06-29T00:00:00" u="1"/>
        <d v="2018-06-29T00:00:00" u="1"/>
        <d v="2019-06-29T00:00:00" u="1"/>
        <d v="2020-06-29T00:00:00" u="1"/>
        <d v="2011-11-18T00:00:00" u="1"/>
        <d v="2013-11-18T00:00:00" u="1"/>
        <d v="2015-11-18T00:00:00" u="1"/>
        <d v="2016-11-18T00:00:00" u="1"/>
        <d v="2013-07-29T00:00:00" u="1"/>
        <d v="2019-11-18T00:00:00" u="1"/>
        <d v="2015-07-29T00:00:00" u="1"/>
        <d v="2020-11-18T00:00:00" u="1"/>
        <d v="2017-07-29T00:00:00" u="1"/>
        <d v="1900-01-07T00:00:00" u="1"/>
        <d v="2018-07-29T00:00:00" u="1"/>
        <d v="2019-07-29T00:00:00" u="1"/>
        <d v="2020-07-29T00:00:00" u="1"/>
        <d v="2001-08-29T00:00:00" u="1"/>
        <d v="2012-12-18T00:00:00" u="1"/>
        <d v="2013-12-18T00:00:00" u="1"/>
        <d v="2015-12-18T00:00:00" u="1"/>
        <d v="2011-08-29T00:00:00" u="1"/>
        <d v="2016-12-18T00:00:00" u="1"/>
        <d v="2017-12-18T00:00:00" u="1"/>
        <d v="2013-08-29T00:00:00" u="1"/>
        <d v="2019-12-18T00:00:00" u="1"/>
        <d v="2015-08-29T00:00:00" u="1"/>
        <d v="2020-12-18T00:00:00" u="1"/>
        <d v="2016-08-29T00:00:00" u="1"/>
        <d v="2018-08-29T00:00:00" u="1"/>
        <d v="2019-08-29T00:00:00" u="1"/>
        <d v="2020-08-29T00:00:00" u="1"/>
        <d v="2011-01-08T00:00:00" u="1"/>
        <d v="2013-01-08T00:00:00" u="1"/>
        <d v="2014-01-08T00:00:00" u="1"/>
        <d v="2016-01-08T00:00:00" u="1"/>
        <d v="2017-01-08T00:00:00" u="1"/>
        <d v="2018-01-08T00:00:00" u="1"/>
        <d v="2020-01-08T00:00:00" u="1"/>
        <d v="2021-01-08T00:00:00" u="1"/>
        <d v="2013-09-29T00:00:00" u="1"/>
        <d v="2015-09-29T00:00:00" u="1"/>
        <d v="2016-09-29T00:00:00" u="1"/>
        <d v="2019-09-29T00:00:00" u="1"/>
        <d v="2020-09-29T00:00:00" u="1"/>
        <d v="2013-02-08T00:00:00" u="1"/>
        <d v="2014-02-08T00:00:00" u="1"/>
        <d v="2016-02-08T00:00:00" u="1"/>
        <d v="2017-02-08T00:00:00" u="1"/>
        <d v="2020-02-08T00:00:00" u="1"/>
        <d v="2021-02-08T00:00:00" u="1"/>
        <d v="2013-10-29T00:00:00" u="1"/>
        <d v="2015-10-29T00:00:00" u="1"/>
        <d v="2016-10-29T00:00:00" u="1"/>
        <d v="2019-10-29T00:00:00" u="1"/>
        <d v="2020-10-29T00:00:00" u="1"/>
        <d v="2014-03-08T00:00:00" u="1"/>
        <d v="2016-03-08T00:00:00" u="1"/>
        <d v="2018-03-08T00:00:00" u="1"/>
        <d v="2019-03-08T00:00:00" u="1"/>
        <d v="2020-03-08T00:00:00" u="1"/>
        <d v="2011-11-29T00:00:00" u="1"/>
        <d v="2021-03-08T00:00:00" u="1"/>
        <d v="2013-11-29T00:00:00" u="1"/>
        <d v="2015-11-29T00:00:00" u="1"/>
        <d v="2019-11-29T00:00:00" u="1"/>
        <d v="2020-11-29T00:00:00" u="1"/>
        <d v="2012-04-08T00:00:00" u="1"/>
        <d v="2015-04-08T00:00:00" u="1"/>
        <d v="2016-04-08T00:00:00" u="1"/>
        <d v="2018-04-08T00:00:00" u="1"/>
        <d v="2019-04-08T00:00:00" u="1"/>
        <d v="2020-04-08T00:00:00" u="1"/>
        <d v="2011-12-29T00:00:00" u="1"/>
        <d v="2021-04-08T00:00:00" u="1"/>
        <d v="2012-12-29T00:00:00" u="1"/>
        <d v="2013-12-29T00:00:00" u="1"/>
        <d v="2015-12-29T00:00:00" u="1"/>
        <d v="2016-12-29T00:00:00" u="1"/>
        <d v="2017-12-29T00:00:00" u="1"/>
        <d v="2019-12-29T00:00:00" u="1"/>
        <d v="2020-12-29T00:00:00" u="1"/>
        <d v="2013-05-08T00:00:00" u="1"/>
        <d v="2011-01-19T00:00:00" u="1"/>
        <d v="2016-05-08T00:00:00" u="1"/>
        <d v="2013-01-19T00:00:00" u="1"/>
        <d v="2018-05-08T00:00:00" u="1"/>
        <d v="2014-01-19T00:00:00" u="1"/>
        <d v="2019-05-08T00:00:00" u="1"/>
        <d v="2015-01-19T00:00:00" u="1"/>
        <d v="2020-05-08T00:00:00" u="1"/>
        <d v="2016-01-19T00:00:00" u="1"/>
        <d v="2017-01-19T00:00:00" u="1"/>
        <d v="2018-01-19T00:00:00" u="1"/>
        <d v="2019-01-19T00:00:00" u="1"/>
        <d v="2020-01-19T00:00:00" u="1"/>
        <d v="2021-01-19T00:00:00" u="1"/>
        <d v="2013-06-08T00:00:00" u="1"/>
        <d v="2015-06-08T00:00:00" u="1"/>
        <d v="2016-06-08T00:00:00" u="1"/>
        <d v="2013-02-19T00:00:00" u="1"/>
        <d v="2018-06-08T00:00:00" u="1"/>
        <d v="2014-02-19T00:00:00" u="1"/>
        <d v="2019-06-08T00:00:00" u="1"/>
        <d v="2020-06-08T00:00:00" u="1"/>
        <d v="2016-02-19T00:00:00" u="1"/>
        <d v="2017-02-19T00:00:00" u="1"/>
        <d v="2020-02-19T00:00:00" u="1"/>
        <d v="2021-02-19T00:00:00" u="1"/>
        <d v="2013-07-08T00:00:00" u="1"/>
        <d v="2015-07-08T00:00:00" u="1"/>
        <d v="2016-07-08T00:00:00" u="1"/>
        <d v="2017-07-08T00:00:00" u="1"/>
        <d v="2018-07-08T00:00:00" u="1"/>
        <d v="2014-03-19T00:00:00" u="1"/>
        <d v="2019-07-08T00:00:00" u="1"/>
        <d v="2020-07-08T00:00:00" u="1"/>
        <d v="2016-03-19T00:00:00" u="1"/>
        <d v="2019-03-19T00:00:00" u="1"/>
        <d v="1904-05-19T00:00:00" u="1"/>
        <d v="2011-08-08T00:00:00" u="1"/>
        <d v="2013-08-08T00:00:00" u="1"/>
        <d v="2015-08-08T00:00:00" u="1"/>
        <d v="2016-08-08T00:00:00" u="1"/>
        <d v="2012-04-19T00:00:00" u="1"/>
        <d v="2018-08-08T00:00:00" u="1"/>
        <d v="2019-08-08T00:00:00" u="1"/>
        <d v="2015-04-19T00:00:00" u="1"/>
        <d v="2020-08-08T00:00:00" u="1"/>
        <d v="2016-04-19T00:00:00" u="1"/>
        <d v="2019-04-19T00:00:00" u="1"/>
        <d v="2020-04-19T00:00:00" u="1"/>
        <d v="2021-04-19T00:00:00" u="1"/>
        <d v="2013-09-08T00:00:00" u="1"/>
        <d v="2010-05-19T00:00:00" u="1"/>
        <d v="2015-09-08T00:00:00" u="1"/>
        <d v="2016-09-08T00:00:00" u="1"/>
        <d v="2013-05-19T00:00:00" u="1"/>
        <d v="2019-09-08T00:00:00" u="1"/>
        <d v="2020-09-08T00:00:00" u="1"/>
        <d v="2011-01-30T00:00:00" u="1"/>
        <d v="2016-05-19T00:00:00" u="1"/>
        <d v="2013-01-30T00:00:00" u="1"/>
        <d v="2014-01-30T00:00:00" u="1"/>
        <d v="2019-05-19T00:00:00" u="1"/>
        <d v="2020-05-19T00:00:00" u="1"/>
        <d v="2016-01-30T00:00:00" u="1"/>
        <d v="2021-05-19T00:00:00" u="1"/>
        <d v="2017-01-30T00:00:00" u="1"/>
        <d v="2018-01-30T00:00:00" u="1"/>
        <d v="2020-01-30T00:00:00" u="1"/>
        <d v="2021-01-30T00:00:00" u="1"/>
        <d v="2013-10-08T00:00:00" u="1"/>
        <d v="2015-10-08T00:00:00" u="1"/>
        <d v="2016-10-08T00:00:00" u="1"/>
        <d v="2013-06-19T00:00:00" u="1"/>
        <d v="2019-10-08T00:00:00" u="1"/>
        <d v="2015-06-19T00:00:00" u="1"/>
        <d v="2020-10-08T00:00:00" u="1"/>
        <d v="2016-06-19T00:00:00" u="1"/>
        <d v="2018-06-19T00:00:00" u="1"/>
        <d v="2019-06-19T00:00:00" u="1"/>
        <d v="2020-06-19T00:00:00" u="1"/>
        <d v="2011-11-08T00:00:00" u="1"/>
        <d v="2013-11-08T00:00:00" u="1"/>
        <d v="2015-11-08T00:00:00" u="1"/>
        <d v="2016-11-08T00:00:00" u="1"/>
        <d v="2013-07-19T00:00:00" u="1"/>
        <d v="2019-11-08T00:00:00" u="1"/>
        <d v="2015-07-19T00:00:00" u="1"/>
        <d v="2020-11-08T00:00:00" u="1"/>
        <d v="2016-07-19T00:00:00" u="1"/>
        <d v="2017-07-19T00:00:00" u="1"/>
        <d v="2018-07-19T00:00:00" u="1"/>
        <d v="2019-07-19T00:00:00" u="1"/>
        <d v="2020-07-19T00:00:00" u="1"/>
        <d v="2016-03-30T00:00:00" u="1"/>
        <d v="2019-03-30T00:00:00" u="1"/>
        <d v="2020-03-30T00:00:00" u="1"/>
        <d v="2012-12-08T00:00:00" u="1"/>
        <d v="2013-12-08T00:00:00" u="1"/>
        <d v="2015-12-08T00:00:00" u="1"/>
        <d v="2011-08-19T00:00:00" u="1"/>
        <d v="2016-12-08T00:00:00" u="1"/>
        <d v="2017-12-08T00:00:00" u="1"/>
        <d v="2013-08-19T00:00:00" u="1"/>
        <d v="2019-12-08T00:00:00" u="1"/>
        <d v="2015-08-19T00:00:00" u="1"/>
        <d v="2020-12-08T00:00:00" u="1"/>
        <d v="2016-08-19T00:00:00" u="1"/>
        <d v="2012-04-30T00:00:00" u="1"/>
        <d v="2018-08-19T00:00:00" u="1"/>
        <d v="2019-08-19T00:00:00" u="1"/>
        <d v="2020-08-19T00:00:00" u="1"/>
        <d v="2016-04-30T00:00:00" u="1"/>
        <d v="2019-04-30T00:00:00" u="1"/>
        <d v="2020-04-30T00:00:00" u="1"/>
        <d v="2021-04-30T00:00:00" u="1"/>
      </sharedItems>
    </cacheField>
    <cacheField name="Monto" numFmtId="165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409.852274421297" createdVersion="3" refreshedVersion="7" recordCount="32" xr:uid="{00000000-000A-0000-FFFF-FFFF02000000}">
  <cacheSource type="worksheet">
    <worksheetSource ref="A3:B5883" sheet="Cheques y trans."/>
  </cacheSource>
  <cacheFields count="2">
    <cacheField name="Fecha" numFmtId="0">
      <sharedItems containsNonDate="0" containsDate="1" containsBlank="1" containsMixedTypes="1" minDate="2011-01-01T00:00:00" maxDate="2021-09-01T00:00:00" count="2171"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m/>
        <d v="2015-09-19T00:00:00" u="1"/>
        <d v="2016-09-19T00:00:00" u="1"/>
        <d v="2013-05-30T00:00:00" u="1"/>
        <d v="2018-09-19T00:00:00" u="1"/>
        <d v="2019-09-19T00:00:00" u="1"/>
        <d v="2020-09-19T00:00:00" u="1"/>
        <d v="2016-05-30T00:00:00" u="1"/>
        <d v="2018-05-30T00:00:00" u="1"/>
        <d v="2019-05-30T00:00:00" u="1"/>
        <d v="2013-10-19T00:00:00" u="1"/>
        <d v="2015-10-19T00:00:00" u="1"/>
        <d v="2016-10-19T00:00:00" u="1"/>
        <d v="2015-06-30T00:00:00" u="1"/>
        <d v="2020-10-19T00:00:00" u="1"/>
        <d v="2016-06-30T00:00:00" u="1"/>
        <d v="2018-06-30T00:00:00" u="1"/>
        <d v="2019-06-30T00:00:00" u="1"/>
        <d v="2020-06-30T00:00:00" u="1"/>
        <d v="2013-11-19T00:00:00" u="1"/>
        <d v="2015-11-19T00:00:00" u="1"/>
        <d v="2016-11-19T00:00:00" u="1"/>
        <d v="2013-07-30T00:00:00" u="1"/>
        <d v="2019-11-19T00:00:00" u="1"/>
        <d v="2015-07-30T00:00:00" u="1"/>
        <d v="2017-07-30T00:00:00" u="1"/>
        <d v="2018-07-30T00:00:00" u="1"/>
        <d v="2019-07-30T00:00:00" u="1"/>
        <d v="2011-12-19T00:00:00" u="1"/>
        <d v="2012-12-19T00:00:00" u="1"/>
        <d v="2013-12-19T00:00:00" u="1"/>
        <d v="2015-12-19T00:00:00" u="1"/>
        <d v="2011-08-30T00:00:00" u="1"/>
        <d v="2016-12-19T00:00:00" u="1"/>
        <d v="2017-12-19T00:00:00" u="1"/>
        <d v="2013-08-30T00:00:00" u="1"/>
        <d v="2019-12-19T00:00:00" u="1"/>
        <d v="2015-08-30T00:00:00" u="1"/>
        <d v="2020-12-19T00:00:00" u="1"/>
        <d v="2016-08-30T00:00:00" u="1"/>
        <d v="2018-08-30T00:00:00" u="1"/>
        <d v="2019-08-30T00:00:00" u="1"/>
        <d v="2020-08-30T00:00:00" u="1"/>
        <d v="2011-01-09T00:00:00" u="1"/>
        <d v="2013-01-09T00:00:00" u="1"/>
        <d v="2014-01-09T00:00:00" u="1"/>
        <d v="2016-01-09T00:00:00" u="1"/>
        <d v="2017-01-09T00:00:00" u="1"/>
        <d v="2018-01-09T00:00:00" u="1"/>
        <d v="2020-01-09T00:00:00" u="1"/>
        <d v="2013-09-30T00:00:00" u="1"/>
        <d v="2015-09-30T00:00:00" u="1"/>
        <d v="2016-09-30T00:00:00" u="1"/>
        <d v="2018-09-30T00:00:00" u="1"/>
        <d v="2019-09-30T00:00:00" u="1"/>
        <d v="2020-09-30T00:00:00" u="1"/>
        <d v="2013-02-09T00:00:00" u="1"/>
        <d v="2014-02-09T00:00:00" u="1"/>
        <d v="2017-02-09T00:00:00" u="1"/>
        <d v="2018-02-09T00:00:00" u="1"/>
        <d v="2020-02-09T00:00:00" u="1"/>
        <d v="2021-02-09T00:00:00" u="1"/>
        <d v="2013-10-30T00:00:00" u="1"/>
        <d v="2015-10-30T00:00:00" u="1"/>
        <d v="2016-10-30T00:00:00" u="1"/>
        <d v="2020-10-30T00:00:00" u="1"/>
        <d v="2014-03-09T00:00:00" u="1"/>
        <d v="2015-03-09T00:00:00" u="1"/>
        <d v="2016-03-09T00:00:00" u="1"/>
        <d v="2018-03-09T00:00:00" u="1"/>
        <d v="2019-03-09T00:00:00" u="1"/>
        <d v="2011-11-30T00:00:00" u="1"/>
        <d v="2021-03-09T00:00:00" u="1"/>
        <d v="2013-11-30T00:00:00" u="1"/>
        <d v="2015-11-30T00:00:00" u="1"/>
        <d v="2016-11-30T00:00:00" u="1"/>
        <d v="2019-11-30T00:00:00" u="1"/>
        <d v="2012-04-09T00:00:00" u="1"/>
        <d v="2015-04-09T00:00:00" u="1"/>
        <d v="2016-04-09T00:00:00" u="1"/>
        <d v="2018-04-09T00:00:00" u="1"/>
        <d v="2019-04-09T00:00:00" u="1"/>
        <d v="2020-04-09T00:00:00" u="1"/>
        <d v="2011-12-30T00:00:00" u="1"/>
        <d v="2021-04-09T00:00:00" u="1"/>
        <d v="2012-12-30T00:00:00" u="1"/>
        <d v="2013-12-30T00:00:00" u="1"/>
        <d v="2015-12-30T00:00:00" u="1"/>
        <d v="2016-12-30T00:00:00" u="1"/>
        <d v="2017-12-30T00:00:00" u="1"/>
        <d v="2019-12-30T00:00:00" u="1"/>
        <d v="2020-12-30T00:00:00" u="1"/>
        <d v="2013-05-09T00:00:00" u="1"/>
        <d v="2011-01-20T00:00:00" u="1"/>
        <d v="2016-05-09T00:00:00" u="1"/>
        <d v="2013-01-20T00:00:00" u="1"/>
        <d v="2018-05-09T00:00:00" u="1"/>
        <d v="2014-01-20T00:00:00" u="1"/>
        <d v="2019-05-09T00:00:00" u="1"/>
        <d v="2016-01-20T00:00:00" u="1"/>
        <d v="2017-01-20T00:00:00" u="1"/>
        <d v="2018-01-20T00:00:00" u="1"/>
        <d v="2020-01-20T00:00:00" u="1"/>
        <d v="2013-06-09T00:00:00" u="1"/>
        <d v="2015-06-09T00:00:00" u="1"/>
        <d v="2016-06-09T00:00:00" u="1"/>
        <d v="2013-02-20T00:00:00" u="1"/>
        <d v="2018-06-09T00:00:00" u="1"/>
        <d v="2014-02-20T00:00:00" u="1"/>
        <d v="2019-06-09T00:00:00" u="1"/>
        <d v="2020-06-09T00:00:00" u="1"/>
        <d v="2017-02-20T00:00:00" u="1"/>
        <d v="2018-02-20T00:00:00" u="1"/>
        <d v="2020-02-20T00:00:00" u="1"/>
        <d v="2021-02-20T00:00:00" u="1"/>
        <d v="2013-07-09T00:00:00" u="1"/>
        <d v="2015-07-09T00:00:00" u="1"/>
        <d v="2017-07-09T00:00:00" u="1"/>
        <d v="2018-07-09T00:00:00" u="1"/>
        <d v="2014-03-20T00:00:00" u="1"/>
        <d v="2019-07-09T00:00:00" u="1"/>
        <d v="2015-03-20T00:00:00" u="1"/>
        <d v="2016-03-20T00:00:00" u="1"/>
        <d v="2018-03-20T00:00:00" u="1"/>
        <d v="2019-03-20T00:00:00" u="1"/>
        <d v="2021-03-20T00:00:00" u="1"/>
        <d v="2011-08-09T00:00:00" u="1"/>
        <d v="2013-08-09T00:00:00" u="1"/>
        <d v="2015-08-09T00:00:00" u="1"/>
        <d v="2016-08-09T00:00:00" u="1"/>
        <d v="2012-04-20T00:00:00" u="1"/>
        <d v="2018-08-09T00:00:00" u="1"/>
        <d v="2019-08-09T00:00:00" u="1"/>
        <d v="2015-04-20T00:00:00" u="1"/>
        <d v="2020-08-09T00:00:00" u="1"/>
        <d v="2016-04-20T00:00:00" u="1"/>
        <d v="2018-04-20T00:00:00" u="1"/>
        <d v="2019-04-20T00:00:00" u="1"/>
        <d v="2020-04-20T00:00:00" u="1"/>
        <d v="2021-04-20T00:00:00" u="1"/>
        <d v="2013-09-09T00:00:00" u="1"/>
        <d v="2015-09-09T00:00:00" u="1"/>
        <d v="2016-09-09T00:00:00" u="1"/>
        <d v="2013-05-20T00:00:00" u="1"/>
        <d v="2018-09-09T00:00:00" u="1"/>
        <d v="2019-09-09T00:00:00" u="1"/>
        <d v="2020-09-09T00:00:00" u="1"/>
        <d v="2011-01-31T00:00:00" u="1"/>
        <d v="2016-05-20T00:00:00" u="1"/>
        <d v="2013-01-31T00:00:00" u="1"/>
        <d v="2018-05-20T00:00:00" u="1"/>
        <d v="2014-01-31T00:00:00" u="1"/>
        <d v="2019-05-20T00:00:00" u="1"/>
        <d v="2016-01-31T00:00:00" u="1"/>
        <d v="2018-01-31T00:00:00" u="1"/>
        <d v="2020-01-31T00:00:00" u="1"/>
        <d v="2013-10-09T00:00:00" u="1"/>
        <d v="2015-10-09T00:00:00" u="1"/>
        <d v="2016-10-09T00:00:00" u="1"/>
        <d v="2013-06-20T00:00:00" u="1"/>
        <d v="2015-06-20T00:00:00" u="1"/>
        <d v="2020-10-09T00:00:00" u="1"/>
        <d v="2016-06-20T00:00:00" u="1"/>
        <d v="2018-06-20T00:00:00" u="1"/>
        <d v="2019-06-20T00:00:00" u="1"/>
        <d v="2020-06-20T00:00:00" u="1"/>
        <d v="2011-11-09T00:00:00" u="1"/>
        <d v="2013-11-09T00:00:00" u="1"/>
        <d v="2015-11-09T00:00:00" u="1"/>
        <d v="2016-11-09T00:00:00" u="1"/>
        <d v="2013-07-20T00:00:00" u="1"/>
        <d v="2019-11-09T00:00:00" u="1"/>
        <d v="2015-07-20T00:00:00" u="1"/>
        <d v="2017-07-20T00:00:00" u="1"/>
        <d v="2018-07-20T00:00:00" u="1"/>
        <d v="2014-03-31T00:00:00" u="1"/>
        <d v="2019-07-20T00:00:00" u="1"/>
        <d v="2015-03-31T00:00:00" u="1"/>
        <d v="2016-03-31T00:00:00" u="1"/>
        <d v="2018-03-31T00:00:00" u="1"/>
        <d v="2019-03-31T00:00:00" u="1"/>
        <d v="2021-03-31T00:00:00" u="1"/>
        <d v="2011-12-09T00:00:00" u="1"/>
        <d v="2012-12-09T00:00:00" u="1"/>
        <d v="2013-12-09T00:00:00" u="1"/>
        <d v="2015-12-09T00:00:00" u="1"/>
        <d v="2011-08-20T00:00:00" u="1"/>
        <d v="2016-12-09T00:00:00" u="1"/>
        <d v="2017-12-09T00:00:00" u="1"/>
        <d v="2013-08-20T00:00:00" u="1"/>
        <d v="2019-12-09T00:00:00" u="1"/>
        <d v="2015-08-20T00:00:00" u="1"/>
        <d v="2020-12-09T00:00:00" u="1"/>
        <d v="2016-08-20T00:00:00" u="1"/>
        <d v="2018-08-20T00:00:00" u="1"/>
        <d v="2019-08-20T00:00:00" u="1"/>
        <d v="2020-08-20T00:00:00" u="1"/>
        <d v="2015-09-20T00:00:00" u="1"/>
        <d v="2016-09-20T00:00:00" u="1"/>
        <d v="2013-05-31T00:00:00" u="1"/>
        <d v="2018-09-20T00:00:00" u="1"/>
        <d v="2019-09-20T00:00:00" u="1"/>
        <d v="2020-09-20T00:00:00" u="1"/>
        <d v="2016-05-31T00:00:00" u="1"/>
        <d v="2013-10-20T00:00:00" u="1"/>
        <d v="2015-10-20T00:00:00" u="1"/>
        <d v="2016-10-20T00:00:00" u="1"/>
        <d v="2020-10-20T00:00:00" u="1"/>
        <d v="2013-11-20T00:00:00" u="1"/>
        <d v="2015-11-20T00:00:00" u="1"/>
        <d v="2016-11-20T00:00:00" u="1"/>
        <d v="2013-07-31T00:00:00" u="1"/>
        <d v="2019-11-20T00:00:00" u="1"/>
        <d v="2015-07-31T00:00:00" u="1"/>
        <d v="2017-07-31T00:00:00" u="1"/>
        <d v="2018-07-31T00:00:00" u="1"/>
        <d v="2019-07-31T00:00:00" u="1"/>
        <d v="2011-12-20T00:00:00" u="1"/>
        <d v="2012-12-20T00:00:00" u="1"/>
        <d v="2013-12-20T00:00:00" u="1"/>
        <d v="2015-12-20T00:00:00" u="1"/>
        <d v="2011-08-31T00:00:00" u="1"/>
        <d v="2016-12-20T00:00:00" u="1"/>
        <d v="2017-12-20T00:00:00" u="1"/>
        <d v="2013-08-31T00:00:00" u="1"/>
        <d v="2019-12-20T00:00:00" u="1"/>
        <d v="2015-08-31T00:00:00" u="1"/>
        <d v="2020-12-20T00:00:00" u="1"/>
        <d v="2016-08-31T00:00:00" u="1"/>
        <d v="2018-08-31T00:00:00" u="1"/>
        <d v="2019-08-31T00:00:00" u="1"/>
        <d v="2011-01-10T00:00:00" u="1"/>
        <d v="2013-01-10T00:00:00" u="1"/>
        <d v="2014-01-10T00:00:00" u="1"/>
        <d v="2016-01-10T00:00:00" u="1"/>
        <d v="2017-01-10T00:00:00" u="1"/>
        <d v="2018-01-10T00:00:00" u="1"/>
        <d v="2020-01-10T00:00:00" u="1"/>
        <d v="2013-02-10T00:00:00" u="1"/>
        <d v="2014-02-10T00:00:00" u="1"/>
        <d v="2017-02-10T00:00:00" u="1"/>
        <d v="2018-02-10T00:00:00" u="1"/>
        <d v="2020-02-10T00:00:00" u="1"/>
        <d v="2021-02-10T00:00:00" u="1"/>
        <d v="2013-10-31T00:00:00" u="1"/>
        <d v="2015-10-31T00:00:00" u="1"/>
        <d v="2016-10-31T00:00:00" u="1"/>
        <d v="2020-10-31T00:00:00" u="1"/>
        <d v="2014-03-10T00:00:00" u="1"/>
        <d v="2015-03-10T00:00:00" u="1"/>
        <d v="2016-03-10T00:00:00" u="1"/>
        <d v="2018-03-10T00:00:00" u="1"/>
        <d v="2019-03-10T00:00:00" u="1"/>
        <d v="2021-03-10T00:00:00" u="1"/>
        <d v="2012-04-10T00:00:00" u="1"/>
        <d v="2015-04-10T00:00:00" u="1"/>
        <d v="2016-04-10T00:00:00" u="1"/>
        <d v="2018-04-10T00:00:00" u="1"/>
        <d v="2019-04-10T00:00:00" u="1"/>
        <d v="2020-04-10T00:00:00" u="1"/>
        <d v="2021-04-10T00:00:00" u="1"/>
        <d v="2012-12-31T00:00:00" u="1"/>
        <d v="2013-12-31T00:00:00" u="1"/>
        <d v="2015-12-31T00:00:00" u="1"/>
        <d v="2017-12-31T00:00:00" u="1"/>
        <d v="2019-12-31T00:00:00" u="1"/>
        <d v="2020-12-31T00:00:00" u="1"/>
        <d v="2013-05-10T00:00:00" u="1"/>
        <d v="2011-01-21T00:00:00" u="1"/>
        <d v="2016-05-10T00:00:00" u="1"/>
        <d v="2013-01-21T00:00:00" u="1"/>
        <d v="2018-05-10T00:00:00" u="1"/>
        <d v="2014-01-21T00:00:00" u="1"/>
        <d v="2019-05-10T00:00:00" u="1"/>
        <d v="2016-01-21T00:00:00" u="1"/>
        <d v="2017-01-21T00:00:00" u="1"/>
        <d v="2018-01-21T00:00:00" u="1"/>
        <d v="2020-01-21T00:00:00" u="1"/>
        <d v="2013-06-10T00:00:00" u="1"/>
        <d v="2015-06-10T00:00:00" u="1"/>
        <d v="2016-06-10T00:00:00" u="1"/>
        <d v="2013-02-21T00:00:00" u="1"/>
        <d v="2018-06-10T00:00:00" u="1"/>
        <d v="2014-02-21T00:00:00" u="1"/>
        <d v="2019-06-10T00:00:00" u="1"/>
        <d v="2020-06-10T00:00:00" u="1"/>
        <d v="2017-02-21T00:00:00" u="1"/>
        <d v="2018-02-21T00:00:00" u="1"/>
        <d v="2020-02-21T00:00:00" u="1"/>
        <d v="2021-02-21T00:00:00" u="1"/>
        <d v="2013-07-10T00:00:00" u="1"/>
        <d v="2015-07-10T00:00:00" u="1"/>
        <d v="2017-07-10T00:00:00" u="1"/>
        <d v="2018-07-10T00:00:00" u="1"/>
        <d v="2014-03-21T00:00:00" u="1"/>
        <d v="2019-07-10T00:00:00" u="1"/>
        <d v="2015-03-21T00:00:00" u="1"/>
        <d v="2016-03-21T00:00:00" u="1"/>
        <d v="2018-03-21T00:00:00" u="1"/>
        <d v="2019-03-21T00:00:00" u="1"/>
        <d v="2021-03-21T00:00:00" u="1"/>
        <d v="2011-08-10T00:00:00" u="1"/>
        <d v="2013-08-10T00:00:00" u="1"/>
        <d v="2015-08-10T00:00:00" u="1"/>
        <d v="2016-08-10T00:00:00" u="1"/>
        <d v="2012-04-21T00:00:00" u="1"/>
        <d v="2018-08-10T00:00:00" u="1"/>
        <d v="2019-08-10T00:00:00" u="1"/>
        <d v="2015-04-21T00:00:00" u="1"/>
        <d v="2020-08-10T00:00:00" u="1"/>
        <d v="2016-04-21T00:00:00" u="1"/>
        <d v="2018-04-21T00:00:00" u="1"/>
        <d v="2019-04-21T00:00:00" u="1"/>
        <d v="2020-04-21T00:00:00" u="1"/>
        <d v="2021-04-21T00:00:00" u="1"/>
        <d v="2013-09-10T00:00:00" u="1"/>
        <d v="2015-09-10T00:00:00" u="1"/>
        <d v="2016-09-10T00:00:00" u="1"/>
        <d v="2013-05-21T00:00:00" u="1"/>
        <d v="2018-09-10T00:00:00" u="1"/>
        <d v="2019-09-10T00:00:00" u="1"/>
        <d v="2020-09-10T00:00:00" u="1"/>
        <d v="2016-05-21T00:00:00" u="1"/>
        <d v="2018-05-21T00:00:00" u="1"/>
        <d v="2019-05-21T00:00:00" u="1"/>
        <d v="2013-10-10T00:00:00" u="1"/>
        <d v="2015-10-10T00:00:00" u="1"/>
        <d v="2016-10-10T00:00:00" u="1"/>
        <d v="2013-06-21T00:00:00" u="1"/>
        <d v="2015-06-21T00:00:00" u="1"/>
        <d v="2020-10-10T00:00:00" u="1"/>
        <d v="2016-06-21T00:00:00" u="1"/>
        <d v="2018-06-21T00:00:00" u="1"/>
        <d v="2019-06-21T00:00:00" u="1"/>
        <d v="2020-06-21T00:00:00" u="1"/>
        <d v="2011-11-10T00:00:00" u="1"/>
        <d v="2013-11-10T00:00:00" u="1"/>
        <d v="2015-11-10T00:00:00" u="1"/>
        <d v="2016-11-10T00:00:00" u="1"/>
        <d v="2013-07-21T00:00:00" u="1"/>
        <d v="2019-11-10T00:00:00" u="1"/>
        <d v="2015-07-21T00:00:00" u="1"/>
        <d v="2017-07-21T00:00:00" u="1"/>
        <d v="2018-07-21T00:00:00" u="1"/>
        <d v="2019-07-21T00:00:00" u="1"/>
        <d v="2012-12-10T00:00:00" u="1"/>
        <d v="2013-12-10T00:00:00" u="1"/>
        <d v="2015-12-10T00:00:00" u="1"/>
        <d v="2011-08-21T00:00:00" u="1"/>
        <d v="2016-12-10T00:00:00" u="1"/>
        <d v="2017-12-10T00:00:00" u="1"/>
        <d v="2013-08-21T00:00:00" u="1"/>
        <d v="2019-12-10T00:00:00" u="1"/>
        <d v="2015-08-21T00:00:00" u="1"/>
        <d v="2020-12-10T00:00:00" u="1"/>
        <d v="2016-08-21T00:00:00" u="1"/>
        <d v="2018-08-21T00:00:00" u="1"/>
        <d v="2019-08-21T00:00:00" u="1"/>
        <d v="2020-08-21T00:00:00" u="1"/>
        <d v="2013-09-21T00:00:00" u="1"/>
        <d v="2015-09-21T00:00:00" u="1"/>
        <d v="2016-09-21T00:00:00" u="1"/>
        <d v="2018-09-21T00:00:00" u="1"/>
        <d v="2019-09-21T00:00:00" u="1"/>
        <d v="2020-09-21T00:00:00" u="1"/>
        <d v="2013-10-21T00:00:00" u="1"/>
        <d v="2015-10-21T00:00:00" u="1"/>
        <d v="2016-10-21T00:00:00" u="1"/>
        <d v="2020-10-21T00:00:00" u="1"/>
        <d v="2011-11-21T00:00:00" u="1"/>
        <d v="2013-11-21T00:00:00" u="1"/>
        <d v="2015-11-21T00:00:00" u="1"/>
        <d v="2016-11-21T00:00:00" u="1"/>
        <d v="2019-11-21T00:00:00" u="1"/>
        <d v="2011-12-21T00:00:00" u="1"/>
        <d v="2012-12-21T00:00:00" u="1"/>
        <d v="2013-12-21T00:00:00" u="1"/>
        <d v="2015-12-21T00:00:00" u="1"/>
        <d v="2016-12-21T00:00:00" u="1"/>
        <d v="2017-12-21T00:00:00" u="1"/>
        <d v="2019-12-21T00:00:00" u="1"/>
        <d v="2020-12-21T00:00:00" u="1"/>
        <d v="2011-01-11T00:00:00" u="1"/>
        <d v="2013-01-11T00:00:00" u="1"/>
        <d v="2014-01-11T00:00:00" u="1"/>
        <d v="2016-01-11T00:00:00" u="1"/>
        <d v="2017-01-11T00:00:00" u="1"/>
        <d v="2018-01-11T00:00:00" u="1"/>
        <d v="2020-01-11T00:00:00" u="1"/>
        <d v="2013-02-11T00:00:00" u="1"/>
        <d v="2014-02-11T00:00:00" u="1"/>
        <d v="2017-02-11T00:00:00" u="1"/>
        <d v="2018-02-11T00:00:00" u="1"/>
        <d v="2020-02-11T00:00:00" u="1"/>
        <d v="2021-02-11T00:00:00" u="1"/>
        <d v="2014-03-11T00:00:00" u="1"/>
        <d v="2015-03-11T00:00:00" u="1"/>
        <d v="2016-03-11T00:00:00" u="1"/>
        <d v="2018-03-11T00:00:00" u="1"/>
        <d v="2019-03-11T00:00:00" u="1"/>
        <d v="2021-03-11T00:00:00" u="1"/>
        <d v="2012-04-11T00:00:00" u="1"/>
        <d v="2015-04-11T00:00:00" u="1"/>
        <d v="2016-04-11T00:00:00" u="1"/>
        <d v="2018-04-11T00:00:00" u="1"/>
        <d v="2019-04-11T00:00:00" u="1"/>
        <d v="2020-04-11T00:00:00" u="1"/>
        <d v="2021-04-11T00:00:00" u="1"/>
        <d v="2013-05-11T00:00:00" u="1"/>
        <d v="2011-01-22T00:00:00" u="1"/>
        <d v="2016-05-11T00:00:00" u="1"/>
        <d v="2013-01-22T00:00:00" u="1"/>
        <d v="2018-05-11T00:00:00" u="1"/>
        <d v="2014-01-22T00:00:00" u="1"/>
        <d v="2019-05-11T00:00:00" u="1"/>
        <d v="2016-01-22T00:00:00" u="1"/>
        <d v="2017-01-22T00:00:00" u="1"/>
        <d v="2018-01-22T00:00:00" u="1"/>
        <d v="2020-01-22T00:00:00" u="1"/>
        <d v="2013-06-11T00:00:00" u="1"/>
        <d v="2015-06-11T00:00:00" u="1"/>
        <d v="2016-06-11T00:00:00" u="1"/>
        <d v="2013-02-22T00:00:00" u="1"/>
        <d v="2018-06-11T00:00:00" u="1"/>
        <d v="2014-02-22T00:00:00" u="1"/>
        <d v="2019-06-11T00:00:00" u="1"/>
        <d v="2020-06-11T00:00:00" u="1"/>
        <d v="2017-02-22T00:00:00" u="1"/>
        <d v="2018-02-22T00:00:00" u="1"/>
        <d v="2020-02-22T00:00:00" u="1"/>
        <d v="2021-02-22T00:00:00" u="1"/>
        <d v="2013-07-11T00:00:00" u="1"/>
        <d v="2015-07-11T00:00:00" u="1"/>
        <d v="2017-07-11T00:00:00" u="1"/>
        <d v="2018-07-11T00:00:00" u="1"/>
        <d v="2014-03-22T00:00:00" u="1"/>
        <d v="2019-07-11T00:00:00" u="1"/>
        <d v="2015-03-22T00:00:00" u="1"/>
        <d v="2016-03-22T00:00:00" u="1"/>
        <d v="2018-03-22T00:00:00" u="1"/>
        <d v="2019-03-22T00:00:00" u="1"/>
        <d v="2021-03-22T00:00:00" u="1"/>
        <d v="2011-08-11T00:00:00" u="1"/>
        <d v="2013-08-11T00:00:00" u="1"/>
        <d v="2015-08-11T00:00:00" u="1"/>
        <d v="2016-08-11T00:00:00" u="1"/>
        <d v="2012-04-22T00:00:00" u="1"/>
        <d v="2018-08-11T00:00:00" u="1"/>
        <d v="2019-08-11T00:00:00" u="1"/>
        <d v="2015-04-22T00:00:00" u="1"/>
        <d v="2020-08-11T00:00:00" u="1"/>
        <d v="2016-04-22T00:00:00" u="1"/>
        <d v="2018-04-22T00:00:00" u="1"/>
        <d v="2019-04-22T00:00:00" u="1"/>
        <d v="2020-04-22T00:00:00" u="1"/>
        <d v="2021-04-22T00:00:00" u="1"/>
        <d v="2013-09-11T00:00:00" u="1"/>
        <d v="2015-09-11T00:00:00" u="1"/>
        <d v="2016-09-11T00:00:00" u="1"/>
        <d v="2013-05-22T00:00:00" u="1"/>
        <d v="2018-09-11T00:00:00" u="1"/>
        <d v="2019-09-11T00:00:00" u="1"/>
        <d v="2020-09-11T00:00:00" u="1"/>
        <d v="2016-05-22T00:00:00" u="1"/>
        <d v="2018-05-22T00:00:00" u="1"/>
        <d v="2019-05-22T00:00:00" u="1"/>
        <d v="2013-10-11T00:00:00" u="1"/>
        <d v="2015-10-11T00:00:00" u="1"/>
        <d v="2016-10-11T00:00:00" u="1"/>
        <d v="2013-06-22T00:00:00" u="1"/>
        <d v="2015-06-22T00:00:00" u="1"/>
        <d v="2020-10-11T00:00:00" u="1"/>
        <d v="2016-06-22T00:00:00" u="1"/>
        <d v="2018-06-22T00:00:00" u="1"/>
        <d v="2019-06-22T00:00:00" u="1"/>
        <d v="2020-06-22T00:00:00" u="1"/>
        <d v="2011-11-11T00:00:00" u="1"/>
        <d v="2013-11-11T00:00:00" u="1"/>
        <d v="2015-11-11T00:00:00" u="1"/>
        <d v="2016-11-11T00:00:00" u="1"/>
        <d v="2013-07-22T00:00:00" u="1"/>
        <d v="2019-11-11T00:00:00" u="1"/>
        <d v="2015-07-22T00:00:00" u="1"/>
        <d v="2017-07-22T00:00:00" u="1"/>
        <d v="2018-07-22T00:00:00" u="1"/>
        <d v="2019-07-22T00:00:00" u="1"/>
        <d v="2012-12-11T00:00:00" u="1"/>
        <d v="2013-12-11T00:00:00" u="1"/>
        <d v="2015-12-11T00:00:00" u="1"/>
        <d v="2011-08-22T00:00:00" u="1"/>
        <d v="2016-12-11T00:00:00" u="1"/>
        <d v="2017-12-11T00:00:00" u="1"/>
        <d v="2013-08-22T00:00:00" u="1"/>
        <d v="2019-12-11T00:00:00" u="1"/>
        <d v="2015-08-22T00:00:00" u="1"/>
        <d v="2020-12-11T00:00:00" u="1"/>
        <d v="2016-08-22T00:00:00" u="1"/>
        <d v="2018-08-22T00:00:00" u="1"/>
        <d v="2019-08-22T00:00:00" u="1"/>
        <d v="2020-08-22T00:00:00" u="1"/>
        <d v="2011-01-01T00:00:00" u="1"/>
        <d v="2014-01-01T00:00:00" u="1"/>
        <d v="2016-01-01T00:00:00" u="1"/>
        <d v="2017-01-01T00:00:00" u="1"/>
        <d v="2018-01-01T00:00:00" u="1"/>
        <d v="2020-01-01T00:00:00" u="1"/>
        <d v="2013-09-22T00:00:00" u="1"/>
        <d v="2015-09-22T00:00:00" u="1"/>
        <d v="2016-09-22T00:00:00" u="1"/>
        <d v="2018-09-22T00:00:00" u="1"/>
        <d v="2019-09-22T00:00:00" u="1"/>
        <d v="2020-09-22T00:00:00" u="1"/>
        <d v="2011-02-01T00:00:00" u="1"/>
        <d v="2013-02-01T00:00:00" u="1"/>
        <d v="2014-02-01T00:00:00" u="1"/>
        <d v="2017-02-01T00:00:00" u="1"/>
        <d v="2018-02-01T00:00:00" u="1"/>
        <d v="2020-02-01T00:00:00" u="1"/>
        <d v="2021-02-01T00:00:00" u="1"/>
        <d v="2013-10-22T00:00:00" u="1"/>
        <d v="2015-10-22T00:00:00" u="1"/>
        <d v="2016-10-22T00:00:00" u="1"/>
        <d v="2020-10-22T00:00:00" u="1"/>
        <d v="2013-03-01T00:00:00" u="1"/>
        <d v="2014-03-01T00:00:00" u="1"/>
        <d v="2015-03-01T00:00:00" u="1"/>
        <d v="2016-03-01T00:00:00" u="1"/>
        <d v="2018-03-01T00:00:00" u="1"/>
        <d v="2019-03-01T00:00:00" u="1"/>
        <d v="2011-11-22T00:00:00" u="1"/>
        <d v="2021-03-01T00:00:00" u="1"/>
        <d v="2013-11-22T00:00:00" u="1"/>
        <d v="2015-11-22T00:00:00" u="1"/>
        <d v="2016-11-22T00:00:00" u="1"/>
        <d v="2019-11-22T00:00:00" u="1"/>
        <d v="2012-04-01T00:00:00" u="1"/>
        <d v="2015-04-01T00:00:00" u="1"/>
        <d v="2016-04-01T00:00:00" u="1"/>
        <d v="2018-04-01T00:00:00" u="1"/>
        <d v="2019-04-01T00:00:00" u="1"/>
        <d v="2020-04-01T00:00:00" u="1"/>
        <d v="2011-12-22T00:00:00" u="1"/>
        <d v="2021-04-01T00:00:00" u="1"/>
        <d v="2012-12-22T00:00:00" u="1"/>
        <d v="2013-12-22T00:00:00" u="1"/>
        <d v="2015-12-22T00:00:00" u="1"/>
        <d v="2016-12-22T00:00:00" u="1"/>
        <d v="2017-12-22T00:00:00" u="1"/>
        <d v="2019-12-22T00:00:00" u="1"/>
        <d v="2020-12-22T00:00:00" u="1"/>
        <d v="2012-05-01T00:00:00" u="1"/>
        <d v="2013-05-01T00:00:00" u="1"/>
        <d v="2011-01-12T00:00:00" u="1"/>
        <d v="2016-05-01T00:00:00" u="1"/>
        <d v="2013-01-12T00:00:00" u="1"/>
        <d v="2018-05-01T00:00:00" u="1"/>
        <d v="2014-01-12T00:00:00" u="1"/>
        <d v="2019-05-01T00:00:00" u="1"/>
        <d v="2016-01-12T00:00:00" u="1"/>
        <d v="2021-05-01T00:00:00" u="1"/>
        <d v="2017-01-12T00:00:00" u="1"/>
        <d v="2018-01-12T00:00:00" u="1"/>
        <d v="2020-01-12T00:00:00" u="1"/>
        <d v="2013-06-01T00:00:00" u="1"/>
        <d v="2015-06-01T00:00:00" u="1"/>
        <d v="2016-06-01T00:00:00" u="1"/>
        <d v="2013-02-12T00:00:00" u="1"/>
        <d v="2018-06-01T00:00:00" u="1"/>
        <d v="2014-02-12T00:00:00" u="1"/>
        <d v="2019-06-01T00:00:00" u="1"/>
        <d v="2020-06-01T00:00:00" u="1"/>
        <d v="2017-02-12T00:00:00" u="1"/>
        <d v="2018-02-12T00:00:00" u="1"/>
        <d v="2020-02-12T00:00:00" u="1"/>
        <d v="2021-02-12T00:00:00" u="1"/>
        <d v="2013-07-01T00:00:00" u="1"/>
        <d v="2015-07-01T00:00:00" u="1"/>
        <d v="2017-07-01T00:00:00" u="1"/>
        <d v="2018-07-01T00:00:00" u="1"/>
        <d v="2014-03-12T00:00:00" u="1"/>
        <d v="2019-07-01T00:00:00" u="1"/>
        <d v="2015-03-12T00:00:00" u="1"/>
        <d v="2016-03-12T00:00:00" u="1"/>
        <d v="2018-03-12T00:00:00" u="1"/>
        <d v="2019-03-12T00:00:00" u="1"/>
        <d v="2021-03-12T00:00:00" u="1"/>
        <d v="2011-08-01T00:00:00" u="1"/>
        <d v="2013-08-01T00:00:00" u="1"/>
        <d v="2015-08-01T00:00:00" u="1"/>
        <d v="2016-08-01T00:00:00" u="1"/>
        <d v="2012-04-12T00:00:00" u="1"/>
        <d v="2018-08-01T00:00:00" u="1"/>
        <d v="2019-08-01T00:00:00" u="1"/>
        <d v="2015-04-12T00:00:00" u="1"/>
        <d v="2020-08-01T00:00:00" u="1"/>
        <d v="2016-04-12T00:00:00" u="1"/>
        <d v="2018-04-12T00:00:00" u="1"/>
        <d v="2019-04-12T00:00:00" u="1"/>
        <d v="2020-04-12T00:00:00" u="1"/>
        <d v="2021-04-12T00:00:00" u="1"/>
        <d v="2013-09-01T00:00:00" u="1"/>
        <d v="2015-09-01T00:00:00" u="1"/>
        <d v="2016-09-01T00:00:00" u="1"/>
        <d v="2013-05-12T00:00:00" u="1"/>
        <d v="2018-09-01T00:00:00" u="1"/>
        <d v="2019-09-01T00:00:00" u="1"/>
        <d v="2020-09-01T00:00:00" u="1"/>
        <d v="2011-01-23T00:00:00" u="1"/>
        <d v="2016-05-12T00:00:00" u="1"/>
        <d v="2013-01-23T00:00:00" u="1"/>
        <d v="2018-05-12T00:00:00" u="1"/>
        <d v="2014-01-23T00:00:00" u="1"/>
        <d v="2019-05-12T00:00:00" u="1"/>
        <d v="2016-01-23T00:00:00" u="1"/>
        <d v="2017-01-23T00:00:00" u="1"/>
        <d v="2018-01-23T00:00:00" u="1"/>
        <d v="2020-01-23T00:00:00" u="1"/>
        <d v="2013-10-01T00:00:00" u="1"/>
        <d v="2015-10-01T00:00:00" u="1"/>
        <d v="2016-10-01T00:00:00" u="1"/>
        <d v="2013-06-12T00:00:00" u="1"/>
        <d v="2015-06-12T00:00:00" u="1"/>
        <d v="2020-10-01T00:00:00" u="1"/>
        <d v="2016-06-12T00:00:00" u="1"/>
        <d v="2013-02-23T00:00:00" u="1"/>
        <d v="2018-06-12T00:00:00" u="1"/>
        <d v="2014-02-23T00:00:00" u="1"/>
        <d v="2019-06-12T00:00:00" u="1"/>
        <d v="2020-06-12T00:00:00" u="1"/>
        <d v="2017-02-23T00:00:00" u="1"/>
        <d v="2018-02-23T00:00:00" u="1"/>
        <d v="2020-02-23T00:00:00" u="1"/>
        <d v="2021-02-23T00:00:00" u="1"/>
        <d v="2013-11-01T00:00:00" u="1"/>
        <d v="2015-11-01T00:00:00" u="1"/>
        <d v="2016-11-01T00:00:00" u="1"/>
        <d v="2013-07-12T00:00:00" u="1"/>
        <d v="2019-11-01T00:00:00" u="1"/>
        <d v="2015-07-12T00:00:00" u="1"/>
        <d v="2017-07-12T00:00:00" u="1"/>
        <d v="2018-07-12T00:00:00" u="1"/>
        <d v="2014-03-23T00:00:00" u="1"/>
        <d v="2019-07-12T00:00:00" u="1"/>
        <d v="2015-03-23T00:00:00" u="1"/>
        <d v="2016-03-23T00:00:00" u="1"/>
        <d v="2018-03-23T00:00:00" u="1"/>
        <d v="2019-03-23T00:00:00" u="1"/>
        <d v="2021-03-23T00:00:00" u="1"/>
        <d v="2011-12-01T00:00:00" u="1"/>
        <d v="2012-12-01T00:00:00" u="1"/>
        <d v="2013-12-01T00:00:00" u="1"/>
        <d v="2015-12-01T00:00:00" u="1"/>
        <d v="2011-08-12T00:00:00" u="1"/>
        <d v="2016-12-01T00:00:00" u="1"/>
        <d v="2017-12-01T00:00:00" u="1"/>
        <d v="2013-08-12T00:00:00" u="1"/>
        <d v="2019-12-01T00:00:00" u="1"/>
        <d v="2015-08-12T00:00:00" u="1"/>
        <d v="2020-12-01T00:00:00" u="1"/>
        <d v="2016-08-12T00:00:00" u="1"/>
        <d v="2012-04-23T00:00:00" u="1"/>
        <d v="2018-08-12T00:00:00" u="1"/>
        <d v="2019-08-12T00:00:00" u="1"/>
        <d v="2015-04-23T00:00:00" u="1"/>
        <d v="2020-08-12T00:00:00" u="1"/>
        <d v="2016-04-23T00:00:00" u="1"/>
        <d v="2018-04-23T00:00:00" u="1"/>
        <d v="2019-04-23T00:00:00" u="1"/>
        <d v="2020-04-23T00:00:00" u="1"/>
        <d v="2021-04-23T00:00:00" u="1"/>
        <d v="2013-09-12T00:00:00" u="1"/>
        <d v="2015-09-12T00:00:00" u="1"/>
        <d v="2016-09-12T00:00:00" u="1"/>
        <d v="2013-05-23T00:00:00" u="1"/>
        <d v="2018-09-12T00:00:00" u="1"/>
        <d v="2019-09-12T00:00:00" u="1"/>
        <d v="2020-09-12T00:00:00" u="1"/>
        <d v="2016-05-23T00:00:00" u="1"/>
        <d v="2018-05-23T00:00:00" u="1"/>
        <d v="2019-05-23T00:00:00" u="1"/>
        <d v="2013-10-12T00:00:00" u="1"/>
        <d v="2015-10-12T00:00:00" u="1"/>
        <d v="2016-10-12T00:00:00" u="1"/>
        <d v="2013-06-23T00:00:00" u="1"/>
        <d v="2015-06-23T00:00:00" u="1"/>
        <d v="2020-10-12T00:00:00" u="1"/>
        <d v="2016-06-23T00:00:00" u="1"/>
        <d v="2018-06-23T00:00:00" u="1"/>
        <d v="2019-06-23T00:00:00" u="1"/>
        <d v="2020-06-23T00:00:00" u="1"/>
        <d v="2013-11-12T00:00:00" u="1"/>
        <d v="2015-11-12T00:00:00" u="1"/>
        <d v="2016-11-12T00:00:00" u="1"/>
        <d v="2013-07-23T00:00:00" u="1"/>
        <d v="2019-11-12T00:00:00" u="1"/>
        <d v="2015-07-23T00:00:00" u="1"/>
        <d v="2017-07-23T00:00:00" u="1"/>
        <d v="2018-07-23T00:00:00" u="1"/>
        <d v="2019-07-23T00:00:00" u="1"/>
        <d v="2011-12-12T00:00:00" u="1"/>
        <d v="2012-12-12T00:00:00" u="1"/>
        <d v="2013-12-12T00:00:00" u="1"/>
        <d v="2015-12-12T00:00:00" u="1"/>
        <d v="2011-08-23T00:00:00" u="1"/>
        <d v="2016-12-12T00:00:00" u="1"/>
        <d v="2017-12-12T00:00:00" u="1"/>
        <d v="2013-08-23T00:00:00" u="1"/>
        <d v="2019-12-12T00:00:00" u="1"/>
        <d v="2015-08-23T00:00:00" u="1"/>
        <d v="2020-12-12T00:00:00" u="1"/>
        <d v="2016-08-23T00:00:00" u="1"/>
        <d v="2018-08-23T00:00:00" u="1"/>
        <d v="2019-08-23T00:00:00" u="1"/>
        <d v="2020-08-23T00:00:00" u="1"/>
        <d v="2011-01-02T00:00:00" u="1"/>
        <d v="2013-01-02T00:00:00" u="1"/>
        <d v="2014-01-02T00:00:00" u="1"/>
        <d v="2016-01-02T00:00:00" u="1"/>
        <d v="2017-01-02T00:00:00" u="1"/>
        <d v="2018-01-02T00:00:00" u="1"/>
        <d v="2020-01-02T00:00:00" u="1"/>
        <d v="2013-09-23T00:00:00" u="1"/>
        <d v="2015-09-23T00:00:00" u="1"/>
        <d v="2016-09-23T00:00:00" u="1"/>
        <d v="2018-09-23T00:00:00" u="1"/>
        <d v="2019-09-23T00:00:00" u="1"/>
        <d v="2020-09-23T00:00:00" u="1"/>
        <d v="2013-02-02T00:00:00" u="1"/>
        <d v="2014-02-02T00:00:00" u="1"/>
        <d v="2017-02-02T00:00:00" u="1"/>
        <d v="2018-02-02T00:00:00" u="1"/>
        <d v="2020-02-02T00:00:00" u="1"/>
        <d v="2021-02-02T00:00:00" u="1"/>
        <d v="2013-10-23T00:00:00" u="1"/>
        <d v="2015-10-23T00:00:00" u="1"/>
        <d v="2016-10-23T00:00:00" u="1"/>
        <d v="2020-10-23T00:00:00" u="1"/>
        <d v="2013-03-02T00:00:00" u="1"/>
        <d v="2014-03-02T00:00:00" u="1"/>
        <d v="2015-03-02T00:00:00" u="1"/>
        <d v="2016-03-02T00:00:00" u="1"/>
        <d v="2018-03-02T00:00:00" u="1"/>
        <d v="2019-03-02T00:00:00" u="1"/>
        <d v="2011-11-23T00:00:00" u="1"/>
        <d v="2021-03-02T00:00:00" u="1"/>
        <d v="2013-11-23T00:00:00" u="1"/>
        <d v="2015-11-23T00:00:00" u="1"/>
        <d v="2016-11-23T00:00:00" u="1"/>
        <d v="2019-11-23T00:00:00" u="1"/>
        <d v="2012-04-02T00:00:00" u="1"/>
        <d v="2015-04-02T00:00:00" u="1"/>
        <d v="2016-04-02T00:00:00" u="1"/>
        <d v="2018-04-02T00:00:00" u="1"/>
        <d v="2019-04-02T00:00:00" u="1"/>
        <d v="2020-04-02T00:00:00" u="1"/>
        <d v="2011-12-23T00:00:00" u="1"/>
        <d v="2021-04-02T00:00:00" u="1"/>
        <d v="2012-12-23T00:00:00" u="1"/>
        <d v="2013-12-23T00:00:00" u="1"/>
        <d v="2015-12-23T00:00:00" u="1"/>
        <d v="2016-12-23T00:00:00" u="1"/>
        <d v="2017-12-23T00:00:00" u="1"/>
        <d v="2019-12-23T00:00:00" u="1"/>
        <d v="2020-12-23T00:00:00" u="1"/>
        <d v="2012-05-02T00:00:00" u="1"/>
        <d v="2013-05-02T00:00:00" u="1"/>
        <d v="2011-01-13T00:00:00" u="1"/>
        <d v="2016-05-02T00:00:00" u="1"/>
        <d v="2013-01-13T00:00:00" u="1"/>
        <d v="2018-05-02T00:00:00" u="1"/>
        <d v="2014-01-13T00:00:00" u="1"/>
        <d v="2019-05-02T00:00:00" u="1"/>
        <d v="2016-01-13T00:00:00" u="1"/>
        <d v="2017-01-13T00:00:00" u="1"/>
        <d v="2018-01-13T00:00:00" u="1"/>
        <d v="2020-01-13T00:00:00" u="1"/>
        <d v="2013-06-02T00:00:00" u="1"/>
        <d v="2015-06-02T00:00:00" u="1"/>
        <d v="2016-06-02T00:00:00" u="1"/>
        <d v="2013-02-13T00:00:00" u="1"/>
        <d v="2018-06-02T00:00:00" u="1"/>
        <d v="2014-02-13T00:00:00" u="1"/>
        <d v="2019-06-02T00:00:00" u="1"/>
        <d v="2020-06-02T00:00:00" u="1"/>
        <d v="2017-02-13T00:00:00" u="1"/>
        <d v="2018-02-13T00:00:00" u="1"/>
        <d v="2020-02-13T00:00:00" u="1"/>
        <d v="2021-02-13T00:00:00" u="1"/>
        <d v="2013-07-02T00:00:00" u="1"/>
        <d v="2015-07-02T00:00:00" u="1"/>
        <d v="2017-07-02T00:00:00" u="1"/>
        <d v="2018-07-02T00:00:00" u="1"/>
        <d v="2014-03-13T00:00:00" u="1"/>
        <d v="2019-07-02T00:00:00" u="1"/>
        <d v="2015-03-13T00:00:00" u="1"/>
        <d v="2016-03-13T00:00:00" u="1"/>
        <d v="2018-03-13T00:00:00" u="1"/>
        <d v="2019-03-13T00:00:00" u="1"/>
        <d v="2021-03-13T00:00:00" u="1"/>
        <d v="2011-08-02T00:00:00" u="1"/>
        <d v="2013-08-02T00:00:00" u="1"/>
        <d v="2015-08-02T00:00:00" u="1"/>
        <d v="2016-08-02T00:00:00" u="1"/>
        <d v="2012-04-13T00:00:00" u="1"/>
        <d v="2018-08-02T00:00:00" u="1"/>
        <d v="2019-08-02T00:00:00" u="1"/>
        <d v="2015-04-13T00:00:00" u="1"/>
        <d v="2020-08-02T00:00:00" u="1"/>
        <d v="2016-04-13T00:00:00" u="1"/>
        <d v="2018-04-13T00:00:00" u="1"/>
        <d v="2019-04-13T00:00:00" u="1"/>
        <d v="2020-04-13T00:00:00" u="1"/>
        <d v="2021-04-13T00:00:00" u="1"/>
        <d v="2013-09-02T00:00:00" u="1"/>
        <d v="2015-09-02T00:00:00" u="1"/>
        <d v="2016-09-02T00:00:00" u="1"/>
        <d v="2013-05-13T00:00:00" u="1"/>
        <d v="2018-09-02T00:00:00" u="1"/>
        <d v="2019-09-02T00:00:00" u="1"/>
        <d v="2020-09-02T00:00:00" u="1"/>
        <d v="2011-01-24T00:00:00" u="1"/>
        <d v="2016-05-13T00:00:00" u="1"/>
        <d v="2013-01-24T00:00:00" u="1"/>
        <d v="2018-05-13T00:00:00" u="1"/>
        <d v="2014-01-24T00:00:00" u="1"/>
        <d v="2019-05-13T00:00:00" u="1"/>
        <d v="2016-01-24T00:00:00" u="1"/>
        <d v="2017-01-24T00:00:00" u="1"/>
        <d v="2018-01-24T00:00:00" u="1"/>
        <d v="2020-01-24T00:00:00" u="1"/>
        <d v="2013-10-02T00:00:00" u="1"/>
        <d v="2015-10-02T00:00:00" u="1"/>
        <d v="2016-10-02T00:00:00" u="1"/>
        <d v="2013-06-13T00:00:00" u="1"/>
        <d v="2015-06-13T00:00:00" u="1"/>
        <d v="2020-10-02T00:00:00" u="1"/>
        <d v="2016-06-13T00:00:00" u="1"/>
        <d v="2013-02-24T00:00:00" u="1"/>
        <d v="2018-06-13T00:00:00" u="1"/>
        <d v="2014-02-24T00:00:00" u="1"/>
        <d v="2019-06-13T00:00:00" u="1"/>
        <d v="2020-06-13T00:00:00" u="1"/>
        <d v="2017-02-24T00:00:00" u="1"/>
        <d v="2018-02-24T00:00:00" u="1"/>
        <d v="2020-02-24T00:00:00" u="1"/>
        <d v="2021-02-24T00:00:00" u="1"/>
        <d v="2011-11-02T00:00:00" u="1"/>
        <d v="2013-11-02T00:00:00" u="1"/>
        <d v="2015-11-02T00:00:00" u="1"/>
        <d v="2016-11-02T00:00:00" u="1"/>
        <d v="2013-07-13T00:00:00" u="1"/>
        <d v="2019-11-02T00:00:00" u="1"/>
        <d v="2015-07-13T00:00:00" u="1"/>
        <d v="2017-07-13T00:00:00" u="1"/>
        <d v="2018-07-13T00:00:00" u="1"/>
        <d v="2014-03-24T00:00:00" u="1"/>
        <d v="2019-07-13T00:00:00" u="1"/>
        <d v="2015-03-24T00:00:00" u="1"/>
        <d v="2016-03-24T00:00:00" u="1"/>
        <d v="2018-03-24T00:00:00" u="1"/>
        <d v="2019-03-24T00:00:00" u="1"/>
        <d v="2021-03-24T00:00:00" u="1"/>
        <d v="2011-12-02T00:00:00" u="1"/>
        <d v="2012-12-02T00:00:00" u="1"/>
        <d v="2013-12-02T00:00:00" u="1"/>
        <d v="2015-12-02T00:00:00" u="1"/>
        <d v="2011-08-13T00:00:00" u="1"/>
        <d v="2016-12-02T00:00:00" u="1"/>
        <d v="2017-12-02T00:00:00" u="1"/>
        <d v="2013-08-13T00:00:00" u="1"/>
        <d v="2019-12-02T00:00:00" u="1"/>
        <d v="2015-08-13T00:00:00" u="1"/>
        <d v="2020-12-02T00:00:00" u="1"/>
        <d v="2016-08-13T00:00:00" u="1"/>
        <d v="2012-04-24T00:00:00" u="1"/>
        <d v="2018-08-13T00:00:00" u="1"/>
        <d v="2019-08-13T00:00:00" u="1"/>
        <d v="2015-04-24T00:00:00" u="1"/>
        <d v="2020-08-13T00:00:00" u="1"/>
        <d v="2016-04-24T00:00:00" u="1"/>
        <d v="2018-04-24T00:00:00" u="1"/>
        <d v="2019-04-24T00:00:00" u="1"/>
        <d v="2020-04-24T00:00:00" u="1"/>
        <d v="2021-04-24T00:00:00" u="1"/>
        <s v="Fórmula1" f="1"/>
        <d v="2013-09-13T00:00:00" u="1"/>
        <d v="2015-09-13T00:00:00" u="1"/>
        <d v="2016-09-13T00:00:00" u="1"/>
        <d v="2013-05-24T00:00:00" u="1"/>
        <d v="2018-09-13T00:00:00" u="1"/>
        <d v="2019-09-13T00:00:00" u="1"/>
        <d v="2020-09-13T00:00:00" u="1"/>
        <d v="2016-05-24T00:00:00" u="1"/>
        <d v="2018-05-24T00:00:00" u="1"/>
        <d v="2019-05-24T00:00:00" u="1"/>
        <d v="2013-10-13T00:00:00" u="1"/>
        <d v="2015-10-13T00:00:00" u="1"/>
        <d v="2016-10-13T00:00:00" u="1"/>
        <d v="2013-06-24T00:00:00" u="1"/>
        <d v="2015-06-24T00:00:00" u="1"/>
        <d v="2020-10-13T00:00:00" u="1"/>
        <d v="2016-06-24T00:00:00" u="1"/>
        <d v="2018-06-24T00:00:00" u="1"/>
        <d v="2019-06-24T00:00:00" u="1"/>
        <d v="2020-06-24T00:00:00" u="1"/>
        <d v="2013-11-13T00:00:00" u="1"/>
        <d v="2015-11-13T00:00:00" u="1"/>
        <d v="2016-11-13T00:00:00" u="1"/>
        <d v="2013-07-24T00:00:00" u="1"/>
        <d v="2019-11-13T00:00:00" u="1"/>
        <d v="2015-07-24T00:00:00" u="1"/>
        <d v="2017-07-24T00:00:00" u="1"/>
        <d v="2018-07-24T00:00:00" u="1"/>
        <d v="2019-07-24T00:00:00" u="1"/>
        <d v="2011-12-13T00:00:00" u="1"/>
        <d v="2012-12-13T00:00:00" u="1"/>
        <d v="2013-12-13T00:00:00" u="1"/>
        <d v="2015-12-13T00:00:00" u="1"/>
        <d v="2011-08-24T00:00:00" u="1"/>
        <d v="2016-12-13T00:00:00" u="1"/>
        <d v="2017-12-13T00:00:00" u="1"/>
        <d v="2013-08-24T00:00:00" u="1"/>
        <d v="2019-12-13T00:00:00" u="1"/>
        <d v="2015-08-24T00:00:00" u="1"/>
        <d v="2020-12-13T00:00:00" u="1"/>
        <d v="2016-08-24T00:00:00" u="1"/>
        <d v="2018-08-24T00:00:00" u="1"/>
        <d v="2019-08-24T00:00:00" u="1"/>
        <d v="2020-08-24T00:00:00" u="1"/>
        <d v="2011-01-03T00:00:00" u="1"/>
        <d v="2013-01-03T00:00:00" u="1"/>
        <d v="2014-01-03T00:00:00" u="1"/>
        <d v="2016-01-03T00:00:00" u="1"/>
        <d v="2017-01-03T00:00:00" u="1"/>
        <d v="2018-01-03T00:00:00" u="1"/>
        <d v="2020-01-03T00:00:00" u="1"/>
        <d v="2013-09-24T00:00:00" u="1"/>
        <d v="2015-09-24T00:00:00" u="1"/>
        <d v="2016-09-24T00:00:00" u="1"/>
        <d v="2018-09-24T00:00:00" u="1"/>
        <d v="2019-09-24T00:00:00" u="1"/>
        <d v="2020-09-24T00:00:00" u="1"/>
        <d v="2013-02-03T00:00:00" u="1"/>
        <d v="2014-02-03T00:00:00" u="1"/>
        <d v="2017-02-03T00:00:00" u="1"/>
        <d v="2018-02-03T00:00:00" u="1"/>
        <d v="2020-02-03T00:00:00" u="1"/>
        <d v="2021-02-03T00:00:00" u="1"/>
        <d v="2013-10-24T00:00:00" u="1"/>
        <d v="2015-10-24T00:00:00" u="1"/>
        <d v="2016-10-24T00:00:00" u="1"/>
        <d v="2020-10-24T00:00:00" u="1"/>
        <d v="2013-03-03T00:00:00" u="1"/>
        <d v="2014-03-03T00:00:00" u="1"/>
        <d v="2015-03-03T00:00:00" u="1"/>
        <d v="2016-03-03T00:00:00" u="1"/>
        <d v="2018-03-03T00:00:00" u="1"/>
        <d v="2019-03-03T00:00:00" u="1"/>
        <d v="2011-11-24T00:00:00" u="1"/>
        <d v="2021-03-03T00:00:00" u="1"/>
        <d v="2013-11-24T00:00:00" u="1"/>
        <d v="2015-11-24T00:00:00" u="1"/>
        <d v="2016-11-24T00:00:00" u="1"/>
        <d v="2019-11-24T00:00:00" u="1"/>
        <d v="2012-04-03T00:00:00" u="1"/>
        <d v="2015-04-03T00:00:00" u="1"/>
        <d v="2016-04-03T00:00:00" u="1"/>
        <d v="2018-04-03T00:00:00" u="1"/>
        <d v="2019-04-03T00:00:00" u="1"/>
        <d v="2020-04-03T00:00:00" u="1"/>
        <d v="2021-04-03T00:00:00" u="1"/>
        <d v="2012-12-24T00:00:00" u="1"/>
        <d v="2013-12-24T00:00:00" u="1"/>
        <d v="2015-12-24T00:00:00" u="1"/>
        <d v="2016-12-24T00:00:00" u="1"/>
        <d v="2017-12-24T00:00:00" u="1"/>
        <d v="2019-12-24T00:00:00" u="1"/>
        <d v="2020-12-24T00:00:00" u="1"/>
        <d v="2013-05-03T00:00:00" u="1"/>
        <d v="2011-01-14T00:00:00" u="1"/>
        <d v="2016-05-03T00:00:00" u="1"/>
        <d v="2013-01-14T00:00:00" u="1"/>
        <d v="2018-05-03T00:00:00" u="1"/>
        <d v="2014-01-14T00:00:00" u="1"/>
        <d v="2019-05-03T00:00:00" u="1"/>
        <d v="2016-01-14T00:00:00" u="1"/>
        <d v="2017-01-14T00:00:00" u="1"/>
        <d v="2018-01-14T00:00:00" u="1"/>
        <d v="2020-01-14T00:00:00" u="1"/>
        <d v="2013-06-03T00:00:00" u="1"/>
        <d v="2015-06-03T00:00:00" u="1"/>
        <d v="2016-06-03T00:00:00" u="1"/>
        <d v="2013-02-14T00:00:00" u="1"/>
        <d v="2018-06-03T00:00:00" u="1"/>
        <d v="2014-02-14T00:00:00" u="1"/>
        <d v="2019-06-03T00:00:00" u="1"/>
        <d v="2020-06-03T00:00:00" u="1"/>
        <d v="2017-02-14T00:00:00" u="1"/>
        <d v="2018-02-14T00:00:00" u="1"/>
        <d v="2020-02-14T00:00:00" u="1"/>
        <d v="2021-02-14T00:00:00" u="1"/>
        <d v="2013-07-03T00:00:00" u="1"/>
        <d v="2015-07-03T00:00:00" u="1"/>
        <d v="2017-07-03T00:00:00" u="1"/>
        <d v="2018-07-03T00:00:00" u="1"/>
        <d v="2014-03-14T00:00:00" u="1"/>
        <d v="2019-07-03T00:00:00" u="1"/>
        <d v="2015-03-14T00:00:00" u="1"/>
        <d v="2016-03-14T00:00:00" u="1"/>
        <d v="2018-03-14T00:00:00" u="1"/>
        <d v="2019-03-14T00:00:00" u="1"/>
        <d v="2021-03-14T00:00:00" u="1"/>
        <d v="2011-08-03T00:00:00" u="1"/>
        <d v="2013-08-03T00:00:00" u="1"/>
        <d v="2015-08-03T00:00:00" u="1"/>
        <d v="2016-08-03T00:00:00" u="1"/>
        <d v="2012-04-14T00:00:00" u="1"/>
        <d v="2018-08-03T00:00:00" u="1"/>
        <d v="2019-08-03T00:00:00" u="1"/>
        <d v="2015-04-14T00:00:00" u="1"/>
        <d v="2020-08-03T00:00:00" u="1"/>
        <d v="2016-04-14T00:00:00" u="1"/>
        <d v="2018-04-14T00:00:00" u="1"/>
        <d v="2019-04-14T00:00:00" u="1"/>
        <d v="2020-04-14T00:00:00" u="1"/>
        <d v="2021-04-14T00:00:00" u="1"/>
        <d v="2013-09-03T00:00:00" u="1"/>
        <d v="2015-09-03T00:00:00" u="1"/>
        <d v="2016-09-03T00:00:00" u="1"/>
        <d v="2013-05-14T00:00:00" u="1"/>
        <d v="2018-09-03T00:00:00" u="1"/>
        <d v="2019-09-03T00:00:00" u="1"/>
        <d v="2020-09-03T00:00:00" u="1"/>
        <d v="2011-01-25T00:00:00" u="1"/>
        <d v="2016-05-14T00:00:00" u="1"/>
        <d v="2013-01-25T00:00:00" u="1"/>
        <d v="2018-05-14T00:00:00" u="1"/>
        <d v="2014-01-25T00:00:00" u="1"/>
        <d v="2019-05-14T00:00:00" u="1"/>
        <d v="2016-01-25T00:00:00" u="1"/>
        <d v="2017-01-25T00:00:00" u="1"/>
        <d v="2018-01-25T00:00:00" u="1"/>
        <d v="2020-01-25T00:00:00" u="1"/>
        <d v="2013-10-03T00:00:00" u="1"/>
        <d v="2015-10-03T00:00:00" u="1"/>
        <d v="2016-10-03T00:00:00" u="1"/>
        <d v="2013-06-14T00:00:00" u="1"/>
        <d v="2015-06-14T00:00:00" u="1"/>
        <d v="2020-10-03T00:00:00" u="1"/>
        <d v="2016-06-14T00:00:00" u="1"/>
        <d v="2013-02-25T00:00:00" u="1"/>
        <d v="2018-06-14T00:00:00" u="1"/>
        <d v="2014-02-25T00:00:00" u="1"/>
        <d v="2019-06-14T00:00:00" u="1"/>
        <d v="2020-06-14T00:00:00" u="1"/>
        <d v="2017-02-25T00:00:00" u="1"/>
        <d v="2018-02-25T00:00:00" u="1"/>
        <d v="2020-02-25T00:00:00" u="1"/>
        <d v="2021-02-25T00:00:00" u="1"/>
        <d v="2011-11-03T00:00:00" u="1"/>
        <d v="2013-11-03T00:00:00" u="1"/>
        <d v="2015-11-03T00:00:00" u="1"/>
        <d v="2016-11-03T00:00:00" u="1"/>
        <d v="2013-07-14T00:00:00" u="1"/>
        <d v="2019-11-03T00:00:00" u="1"/>
        <d v="2015-07-14T00:00:00" u="1"/>
        <d v="2017-07-14T00:00:00" u="1"/>
        <d v="2018-07-14T00:00:00" u="1"/>
        <d v="2014-03-25T00:00:00" u="1"/>
        <d v="2019-07-14T00:00:00" u="1"/>
        <d v="2015-03-25T00:00:00" u="1"/>
        <d v="2016-03-25T00:00:00" u="1"/>
        <d v="2018-03-25T00:00:00" u="1"/>
        <d v="2019-03-25T00:00:00" u="1"/>
        <d v="2021-03-25T00:00:00" u="1"/>
        <d v="2012-12-03T00:00:00" u="1"/>
        <d v="2013-12-03T00:00:00" u="1"/>
        <d v="2015-12-03T00:00:00" u="1"/>
        <d v="2011-08-14T00:00:00" u="1"/>
        <d v="2016-12-03T00:00:00" u="1"/>
        <d v="2017-12-03T00:00:00" u="1"/>
        <d v="2013-08-14T00:00:00" u="1"/>
        <d v="2019-12-03T00:00:00" u="1"/>
        <d v="2015-08-14T00:00:00" u="1"/>
        <d v="2020-12-03T00:00:00" u="1"/>
        <d v="2016-08-14T00:00:00" u="1"/>
        <d v="2012-04-25T00:00:00" u="1"/>
        <d v="2018-08-14T00:00:00" u="1"/>
        <d v="2019-08-14T00:00:00" u="1"/>
        <d v="2015-04-25T00:00:00" u="1"/>
        <d v="2020-08-14T00:00:00" u="1"/>
        <d v="2016-04-25T00:00:00" u="1"/>
        <d v="2018-04-25T00:00:00" u="1"/>
        <d v="2019-04-25T00:00:00" u="1"/>
        <d v="2020-04-25T00:00:00" u="1"/>
        <d v="2021-04-25T00:00:00" u="1"/>
        <d v="2013-09-14T00:00:00" u="1"/>
        <d v="2015-09-14T00:00:00" u="1"/>
        <d v="2016-09-14T00:00:00" u="1"/>
        <d v="2013-05-25T00:00:00" u="1"/>
        <d v="2018-09-14T00:00:00" u="1"/>
        <d v="2019-09-14T00:00:00" u="1"/>
        <d v="2020-09-14T00:00:00" u="1"/>
        <d v="2016-05-25T00:00:00" u="1"/>
        <d v="2018-05-25T00:00:00" u="1"/>
        <d v="2019-05-25T00:00:00" u="1"/>
        <d v="2013-10-14T00:00:00" u="1"/>
        <d v="2015-10-14T00:00:00" u="1"/>
        <d v="2016-10-14T00:00:00" u="1"/>
        <d v="2013-06-25T00:00:00" u="1"/>
        <d v="2015-06-25T00:00:00" u="1"/>
        <d v="2020-10-14T00:00:00" u="1"/>
        <d v="2016-06-25T00:00:00" u="1"/>
        <d v="2018-06-25T00:00:00" u="1"/>
        <d v="2019-06-25T00:00:00" u="1"/>
        <d v="2020-06-25T00:00:00" u="1"/>
        <d v="2011-11-14T00:00:00" u="1"/>
        <d v="2013-11-14T00:00:00" u="1"/>
        <d v="2015-11-14T00:00:00" u="1"/>
        <d v="2016-11-14T00:00:00" u="1"/>
        <d v="2013-07-25T00:00:00" u="1"/>
        <d v="2019-11-14T00:00:00" u="1"/>
        <d v="2015-07-25T00:00:00" u="1"/>
        <d v="2017-07-25T00:00:00" u="1"/>
        <d v="2018-07-25T00:00:00" u="1"/>
        <d v="2019-07-25T00:00:00" u="1"/>
        <d v="2011-12-14T00:00:00" u="1"/>
        <d v="2012-12-14T00:00:00" u="1"/>
        <d v="2013-12-14T00:00:00" u="1"/>
        <d v="2015-12-14T00:00:00" u="1"/>
        <d v="2011-08-25T00:00:00" u="1"/>
        <d v="2016-12-14T00:00:00" u="1"/>
        <d v="2017-12-14T00:00:00" u="1"/>
        <d v="2013-08-25T00:00:00" u="1"/>
        <d v="2019-12-14T00:00:00" u="1"/>
        <d v="2015-08-25T00:00:00" u="1"/>
        <d v="2020-12-14T00:00:00" u="1"/>
        <d v="2016-08-25T00:00:00" u="1"/>
        <d v="2018-08-25T00:00:00" u="1"/>
        <d v="2019-08-25T00:00:00" u="1"/>
        <d v="2020-08-25T00:00:00" u="1"/>
        <d v="2011-01-04T00:00:00" u="1"/>
        <d v="2013-01-04T00:00:00" u="1"/>
        <d v="2014-01-04T00:00:00" u="1"/>
        <d v="2016-01-04T00:00:00" u="1"/>
        <d v="2017-01-04T00:00:00" u="1"/>
        <d v="2018-01-04T00:00:00" u="1"/>
        <d v="2020-01-04T00:00:00" u="1"/>
        <d v="2013-09-25T00:00:00" u="1"/>
        <d v="2015-09-25T00:00:00" u="1"/>
        <d v="2016-09-25T00:00:00" u="1"/>
        <d v="2018-09-25T00:00:00" u="1"/>
        <d v="2019-09-25T00:00:00" u="1"/>
        <d v="2020-09-25T00:00:00" u="1"/>
        <d v="2013-02-04T00:00:00" u="1"/>
        <d v="2014-02-04T00:00:00" u="1"/>
        <d v="2017-02-04T00:00:00" u="1"/>
        <d v="2018-02-04T00:00:00" u="1"/>
        <d v="2020-02-04T00:00:00" u="1"/>
        <d v="2021-02-04T00:00:00" u="1"/>
        <d v="2013-10-25T00:00:00" u="1"/>
        <d v="2015-10-25T00:00:00" u="1"/>
        <d v="2016-10-25T00:00:00" u="1"/>
        <d v="2020-10-25T00:00:00" u="1"/>
        <d v="2014-03-04T00:00:00" u="1"/>
        <d v="2015-03-04T00:00:00" u="1"/>
        <d v="2016-03-04T00:00:00" u="1"/>
        <d v="2018-03-04T00:00:00" u="1"/>
        <d v="2019-03-04T00:00:00" u="1"/>
        <d v="2011-11-25T00:00:00" u="1"/>
        <d v="2021-03-04T00:00:00" u="1"/>
        <d v="2013-11-25T00:00:00" u="1"/>
        <d v="2015-11-25T00:00:00" u="1"/>
        <d v="2016-11-25T00:00:00" u="1"/>
        <d v="2019-11-25T00:00:00" u="1"/>
        <d v="2012-04-04T00:00:00" u="1"/>
        <d v="2015-04-04T00:00:00" u="1"/>
        <d v="2016-04-04T00:00:00" u="1"/>
        <d v="2018-04-04T00:00:00" u="1"/>
        <d v="2019-04-04T00:00:00" u="1"/>
        <d v="2020-04-04T00:00:00" u="1"/>
        <d v="2021-04-04T00:00:00" u="1"/>
        <d v="2012-12-25T00:00:00" u="1"/>
        <d v="2013-12-25T00:00:00" u="1"/>
        <d v="2015-12-25T00:00:00" u="1"/>
        <d v="2016-12-25T00:00:00" u="1"/>
        <d v="2017-12-25T00:00:00" u="1"/>
        <d v="2019-12-25T00:00:00" u="1"/>
        <d v="2020-12-25T00:00:00" u="1"/>
        <d v="2013-05-04T00:00:00" u="1"/>
        <d v="2011-01-15T00:00:00" u="1"/>
        <d v="2016-05-04T00:00:00" u="1"/>
        <d v="2013-01-15T00:00:00" u="1"/>
        <d v="2018-05-04T00:00:00" u="1"/>
        <d v="2014-01-15T00:00:00" u="1"/>
        <d v="2019-05-04T00:00:00" u="1"/>
        <d v="2016-01-15T00:00:00" u="1"/>
        <d v="2017-01-15T00:00:00" u="1"/>
        <d v="2018-01-15T00:00:00" u="1"/>
        <d v="2020-01-15T00:00:00" u="1"/>
        <d v="2013-06-04T00:00:00" u="1"/>
        <d v="2015-06-04T00:00:00" u="1"/>
        <d v="2016-06-04T00:00:00" u="1"/>
        <d v="2013-02-15T00:00:00" u="1"/>
        <d v="2018-06-04T00:00:00" u="1"/>
        <d v="2014-02-15T00:00:00" u="1"/>
        <d v="2019-06-04T00:00:00" u="1"/>
        <d v="2020-06-04T00:00:00" u="1"/>
        <d v="2017-02-15T00:00:00" u="1"/>
        <d v="2018-02-15T00:00:00" u="1"/>
        <d v="2020-02-15T00:00:00" u="1"/>
        <d v="2021-02-15T00:00:00" u="1"/>
        <d v="2013-07-04T00:00:00" u="1"/>
        <d v="2015-07-04T00:00:00" u="1"/>
        <d v="2017-07-04T00:00:00" u="1"/>
        <d v="2018-07-04T00:00:00" u="1"/>
        <d v="2014-03-15T00:00:00" u="1"/>
        <d v="2019-07-04T00:00:00" u="1"/>
        <d v="2015-03-15T00:00:00" u="1"/>
        <d v="2016-03-15T00:00:00" u="1"/>
        <d v="2018-03-15T00:00:00" u="1"/>
        <d v="2019-03-15T00:00:00" u="1"/>
        <d v="2021-03-15T00:00:00" u="1"/>
        <d v="2011-08-04T00:00:00" u="1"/>
        <d v="2013-08-04T00:00:00" u="1"/>
        <d v="2015-08-04T00:00:00" u="1"/>
        <d v="2016-08-04T00:00:00" u="1"/>
        <d v="2012-04-15T00:00:00" u="1"/>
        <d v="2018-08-04T00:00:00" u="1"/>
        <d v="2019-08-04T00:00:00" u="1"/>
        <d v="2015-04-15T00:00:00" u="1"/>
        <d v="2020-08-04T00:00:00" u="1"/>
        <d v="2016-04-15T00:00:00" u="1"/>
        <d v="2018-04-15T00:00:00" u="1"/>
        <d v="2019-04-15T00:00:00" u="1"/>
        <d v="2020-04-15T00:00:00" u="1"/>
        <d v="2021-04-15T00:00:00" u="1"/>
        <d v="2013-09-04T00:00:00" u="1"/>
        <d v="2015-09-04T00:00:00" u="1"/>
        <d v="2016-09-04T00:00:00" u="1"/>
        <d v="2013-05-15T00:00:00" u="1"/>
        <d v="2018-09-04T00:00:00" u="1"/>
        <d v="2019-09-04T00:00:00" u="1"/>
        <d v="2020-09-04T00:00:00" u="1"/>
        <d v="2011-01-26T00:00:00" u="1"/>
        <d v="2016-05-15T00:00:00" u="1"/>
        <d v="2013-01-26T00:00:00" u="1"/>
        <d v="2018-05-15T00:00:00" u="1"/>
        <d v="2014-01-26T00:00:00" u="1"/>
        <d v="2019-05-15T00:00:00" u="1"/>
        <d v="2016-01-26T00:00:00" u="1"/>
        <d v="2017-01-26T00:00:00" u="1"/>
        <d v="2018-01-26T00:00:00" u="1"/>
        <d v="2020-01-26T00:00:00" u="1"/>
        <d v="2013-10-04T00:00:00" u="1"/>
        <d v="2015-10-04T00:00:00" u="1"/>
        <d v="2016-10-04T00:00:00" u="1"/>
        <d v="2013-06-15T00:00:00" u="1"/>
        <d v="2015-06-15T00:00:00" u="1"/>
        <d v="2020-10-04T00:00:00" u="1"/>
        <d v="2016-06-15T00:00:00" u="1"/>
        <d v="2013-02-26T00:00:00" u="1"/>
        <d v="2018-06-15T00:00:00" u="1"/>
        <d v="2014-02-26T00:00:00" u="1"/>
        <d v="2019-06-15T00:00:00" u="1"/>
        <d v="2020-06-15T00:00:00" u="1"/>
        <d v="2017-02-26T00:00:00" u="1"/>
        <d v="2018-02-26T00:00:00" u="1"/>
        <d v="2020-02-26T00:00:00" u="1"/>
        <d v="2021-02-26T00:00:00" u="1"/>
        <d v="2011-11-04T00:00:00" u="1"/>
        <d v="2013-11-04T00:00:00" u="1"/>
        <d v="2015-11-04T00:00:00" u="1"/>
        <d v="2016-11-04T00:00:00" u="1"/>
        <d v="2013-07-15T00:00:00" u="1"/>
        <d v="2019-11-04T00:00:00" u="1"/>
        <d v="2015-07-15T00:00:00" u="1"/>
        <d v="2017-07-15T00:00:00" u="1"/>
        <d v="2018-07-15T00:00:00" u="1"/>
        <d v="2014-03-26T00:00:00" u="1"/>
        <d v="2019-07-15T00:00:00" u="1"/>
        <d v="2015-03-26T00:00:00" u="1"/>
        <d v="2016-03-26T00:00:00" u="1"/>
        <d v="2018-03-26T00:00:00" u="1"/>
        <d v="2019-03-26T00:00:00" u="1"/>
        <d v="2021-03-26T00:00:00" u="1"/>
        <d v="2012-12-04T00:00:00" u="1"/>
        <d v="2013-12-04T00:00:00" u="1"/>
        <d v="2015-12-04T00:00:00" u="1"/>
        <d v="2011-08-15T00:00:00" u="1"/>
        <d v="2016-12-04T00:00:00" u="1"/>
        <d v="2017-12-04T00:00:00" u="1"/>
        <d v="2013-08-15T00:00:00" u="1"/>
        <d v="2019-12-04T00:00:00" u="1"/>
        <d v="2015-08-15T00:00:00" u="1"/>
        <d v="2020-12-04T00:00:00" u="1"/>
        <d v="2016-08-15T00:00:00" u="1"/>
        <d v="2012-04-26T00:00:00" u="1"/>
        <d v="2018-08-15T00:00:00" u="1"/>
        <d v="2019-08-15T00:00:00" u="1"/>
        <d v="2015-04-26T00:00:00" u="1"/>
        <d v="2020-08-15T00:00:00" u="1"/>
        <d v="2016-04-26T00:00:00" u="1"/>
        <d v="2018-04-26T00:00:00" u="1"/>
        <d v="2019-04-26T00:00:00" u="1"/>
        <d v="2020-04-26T00:00:00" u="1"/>
        <d v="2021-04-26T00:00:00" u="1"/>
        <d v="2013-09-15T00:00:00" u="1"/>
        <d v="2015-09-15T00:00:00" u="1"/>
        <d v="2016-09-15T00:00:00" u="1"/>
        <d v="2013-05-26T00:00:00" u="1"/>
        <d v="2018-09-15T00:00:00" u="1"/>
        <d v="2019-09-15T00:00:00" u="1"/>
        <d v="2020-09-15T00:00:00" u="1"/>
        <d v="2016-05-26T00:00:00" u="1"/>
        <d v="2018-05-26T00:00:00" u="1"/>
        <d v="2019-05-26T00:00:00" u="1"/>
        <d v="2013-10-15T00:00:00" u="1"/>
        <d v="2015-10-15T00:00:00" u="1"/>
        <d v="2016-10-15T00:00:00" u="1"/>
        <d v="2013-06-26T00:00:00" u="1"/>
        <d v="2015-06-26T00:00:00" u="1"/>
        <d v="2020-10-15T00:00:00" u="1"/>
        <d v="2016-06-26T00:00:00" u="1"/>
        <d v="2018-06-26T00:00:00" u="1"/>
        <d v="2019-06-26T00:00:00" u="1"/>
        <d v="2020-06-26T00:00:00" u="1"/>
        <d v="2011-11-15T00:00:00" u="1"/>
        <d v="2013-11-15T00:00:00" u="1"/>
        <d v="2015-11-15T00:00:00" u="1"/>
        <d v="2016-11-15T00:00:00" u="1"/>
        <d v="2013-07-26T00:00:00" u="1"/>
        <d v="2019-11-15T00:00:00" u="1"/>
        <d v="2015-07-26T00:00:00" u="1"/>
        <d v="2017-07-26T00:00:00" u="1"/>
        <d v="2018-07-26T00:00:00" u="1"/>
        <d v="2019-07-26T00:00:00" u="1"/>
        <d v="2011-12-15T00:00:00" u="1"/>
        <d v="2012-12-15T00:00:00" u="1"/>
        <d v="2013-12-15T00:00:00" u="1"/>
        <d v="2015-12-15T00:00:00" u="1"/>
        <d v="2011-08-26T00:00:00" u="1"/>
        <d v="2016-12-15T00:00:00" u="1"/>
        <d v="2017-12-15T00:00:00" u="1"/>
        <d v="2013-08-26T00:00:00" u="1"/>
        <d v="2019-12-15T00:00:00" u="1"/>
        <d v="2015-08-26T00:00:00" u="1"/>
        <d v="2020-12-15T00:00:00" u="1"/>
        <d v="2016-08-26T00:00:00" u="1"/>
        <d v="2018-08-26T00:00:00" u="1"/>
        <d v="2019-08-26T00:00:00" u="1"/>
        <d v="2020-08-26T00:00:00" u="1"/>
        <d v="2011-01-05T00:00:00" u="1"/>
        <d v="2013-01-05T00:00:00" u="1"/>
        <d v="2014-01-05T00:00:00" u="1"/>
        <d v="2016-01-05T00:00:00" u="1"/>
        <d v="2017-01-05T00:00:00" u="1"/>
        <d v="2018-01-05T00:00:00" u="1"/>
        <d v="2020-01-05T00:00:00" u="1"/>
        <d v="2013-09-26T00:00:00" u="1"/>
        <d v="2015-09-26T00:00:00" u="1"/>
        <d v="2016-09-26T00:00:00" u="1"/>
        <d v="2018-09-26T00:00:00" u="1"/>
        <d v="2019-09-26T00:00:00" u="1"/>
        <d v="2020-09-26T00:00:00" u="1"/>
        <d v="2013-02-05T00:00:00" u="1"/>
        <d v="2014-02-05T00:00:00" u="1"/>
        <d v="2017-02-05T00:00:00" u="1"/>
        <d v="2018-02-05T00:00:00" u="1"/>
        <d v="2020-02-05T00:00:00" u="1"/>
        <d v="2021-02-05T00:00:00" u="1"/>
        <d v="2013-10-26T00:00:00" u="1"/>
        <d v="2015-10-26T00:00:00" u="1"/>
        <d v="2016-10-26T00:00:00" u="1"/>
        <d v="2020-10-26T00:00:00" u="1"/>
        <d v="2014-03-05T00:00:00" u="1"/>
        <d v="2015-03-05T00:00:00" u="1"/>
        <d v="2016-03-05T00:00:00" u="1"/>
        <d v="2018-03-05T00:00:00" u="1"/>
        <d v="2019-03-05T00:00:00" u="1"/>
        <d v="2021-03-05T00:00:00" u="1"/>
        <d v="2013-11-26T00:00:00" u="1"/>
        <d v="2015-11-26T00:00:00" u="1"/>
        <d v="2016-11-26T00:00:00" u="1"/>
        <d v="2019-11-26T00:00:00" u="1"/>
        <d v="2012-04-05T00:00:00" u="1"/>
        <d v="2015-04-05T00:00:00" u="1"/>
        <d v="2016-04-05T00:00:00" u="1"/>
        <d v="2018-04-05T00:00:00" u="1"/>
        <d v="2019-04-05T00:00:00" u="1"/>
        <d v="2020-04-05T00:00:00" u="1"/>
        <d v="2011-12-26T00:00:00" u="1"/>
        <d v="2021-04-05T00:00:00" u="1"/>
        <d v="2012-12-26T00:00:00" u="1"/>
        <d v="2013-12-26T00:00:00" u="1"/>
        <d v="2015-12-26T00:00:00" u="1"/>
        <d v="2016-12-26T00:00:00" u="1"/>
        <d v="2017-12-26T00:00:00" u="1"/>
        <d v="2019-12-26T00:00:00" u="1"/>
        <d v="2020-12-26T00:00:00" u="1"/>
        <d v="2013-05-05T00:00:00" u="1"/>
        <d v="2011-01-16T00:00:00" u="1"/>
        <d v="2016-05-05T00:00:00" u="1"/>
        <d v="2013-01-16T00:00:00" u="1"/>
        <d v="2018-05-05T00:00:00" u="1"/>
        <d v="2014-01-16T00:00:00" u="1"/>
        <d v="2019-05-05T00:00:00" u="1"/>
        <d v="2016-01-16T00:00:00" u="1"/>
        <d v="2017-01-16T00:00:00" u="1"/>
        <d v="2018-01-16T00:00:00" u="1"/>
        <d v="2020-01-16T00:00:00" u="1"/>
        <d v="2013-06-05T00:00:00" u="1"/>
        <d v="2015-06-05T00:00:00" u="1"/>
        <d v="2016-06-05T00:00:00" u="1"/>
        <d v="2013-02-16T00:00:00" u="1"/>
        <d v="2018-06-05T00:00:00" u="1"/>
        <d v="2014-02-16T00:00:00" u="1"/>
        <d v="2019-06-05T00:00:00" u="1"/>
        <d v="2020-06-05T00:00:00" u="1"/>
        <d v="2017-02-16T00:00:00" u="1"/>
        <d v="2018-02-16T00:00:00" u="1"/>
        <d v="2020-02-16T00:00:00" u="1"/>
        <d v="2021-02-16T00:00:00" u="1"/>
        <d v="2013-07-05T00:00:00" u="1"/>
        <d v="2015-07-05T00:00:00" u="1"/>
        <d v="2017-07-05T00:00:00" u="1"/>
        <d v="2018-07-05T00:00:00" u="1"/>
        <d v="2014-03-16T00:00:00" u="1"/>
        <d v="2019-07-05T00:00:00" u="1"/>
        <d v="2015-03-16T00:00:00" u="1"/>
        <d v="2016-03-16T00:00:00" u="1"/>
        <d v="2018-03-16T00:00:00" u="1"/>
        <d v="2019-03-16T00:00:00" u="1"/>
        <d v="2021-03-16T00:00:00" u="1"/>
        <d v="2011-08-05T00:00:00" u="1"/>
        <d v="2013-08-05T00:00:00" u="1"/>
        <d v="2015-08-05T00:00:00" u="1"/>
        <d v="2016-08-05T00:00:00" u="1"/>
        <d v="2012-04-16T00:00:00" u="1"/>
        <d v="2018-08-05T00:00:00" u="1"/>
        <d v="2019-08-05T00:00:00" u="1"/>
        <d v="2015-04-16T00:00:00" u="1"/>
        <d v="2020-08-05T00:00:00" u="1"/>
        <d v="2016-04-16T00:00:00" u="1"/>
        <d v="2018-04-16T00:00:00" u="1"/>
        <d v="2019-04-16T00:00:00" u="1"/>
        <d v="2020-04-16T00:00:00" u="1"/>
        <d v="2021-04-16T00:00:00" u="1"/>
        <d v="2013-09-05T00:00:00" u="1"/>
        <d v="2015-09-05T00:00:00" u="1"/>
        <d v="2016-09-05T00:00:00" u="1"/>
        <d v="2013-05-16T00:00:00" u="1"/>
        <d v="2018-09-05T00:00:00" u="1"/>
        <d v="2019-09-05T00:00:00" u="1"/>
        <d v="2020-09-05T00:00:00" u="1"/>
        <d v="2011-01-27T00:00:00" u="1"/>
        <d v="2016-05-16T00:00:00" u="1"/>
        <d v="2013-01-27T00:00:00" u="1"/>
        <d v="2018-05-16T00:00:00" u="1"/>
        <d v="2014-01-27T00:00:00" u="1"/>
        <d v="2019-05-16T00:00:00" u="1"/>
        <d v="2016-01-27T00:00:00" u="1"/>
        <d v="2017-01-27T00:00:00" u="1"/>
        <d v="2018-01-27T00:00:00" u="1"/>
        <d v="2020-01-27T00:00:00" u="1"/>
        <d v="2013-10-05T00:00:00" u="1"/>
        <d v="2015-10-05T00:00:00" u="1"/>
        <d v="2016-10-05T00:00:00" u="1"/>
        <d v="2013-06-16T00:00:00" u="1"/>
        <d v="2015-06-16T00:00:00" u="1"/>
        <d v="2020-10-05T00:00:00" u="1"/>
        <d v="2016-06-16T00:00:00" u="1"/>
        <d v="2013-02-27T00:00:00" u="1"/>
        <d v="2018-06-16T00:00:00" u="1"/>
        <d v="2014-02-27T00:00:00" u="1"/>
        <d v="2019-06-16T00:00:00" u="1"/>
        <d v="2020-06-16T00:00:00" u="1"/>
        <d v="2017-02-27T00:00:00" u="1"/>
        <d v="2018-02-27T00:00:00" u="1"/>
        <d v="2020-02-27T00:00:00" u="1"/>
        <d v="2021-02-27T00:00:00" u="1"/>
        <d v="2013-11-05T00:00:00" u="1"/>
        <d v="2015-11-05T00:00:00" u="1"/>
        <d v="2016-11-05T00:00:00" u="1"/>
        <d v="2013-07-16T00:00:00" u="1"/>
        <d v="2019-11-05T00:00:00" u="1"/>
        <d v="2015-07-16T00:00:00" u="1"/>
        <d v="2017-07-16T00:00:00" u="1"/>
        <d v="2018-07-16T00:00:00" u="1"/>
        <d v="2014-03-27T00:00:00" u="1"/>
        <d v="2019-07-16T00:00:00" u="1"/>
        <d v="2015-03-27T00:00:00" u="1"/>
        <d v="2016-03-27T00:00:00" u="1"/>
        <d v="2018-03-27T00:00:00" u="1"/>
        <d v="2019-03-27T00:00:00" u="1"/>
        <d v="2021-03-27T00:00:00" u="1"/>
        <d v="2011-12-05T00:00:00" u="1"/>
        <d v="2012-12-05T00:00:00" u="1"/>
        <d v="2013-12-05T00:00:00" u="1"/>
        <d v="2015-12-05T00:00:00" u="1"/>
        <d v="2011-08-16T00:00:00" u="1"/>
        <d v="2016-12-05T00:00:00" u="1"/>
        <d v="2017-12-05T00:00:00" u="1"/>
        <d v="2013-08-16T00:00:00" u="1"/>
        <d v="2019-12-05T00:00:00" u="1"/>
        <d v="2015-08-16T00:00:00" u="1"/>
        <d v="2020-12-05T00:00:00" u="1"/>
        <d v="2016-08-16T00:00:00" u="1"/>
        <d v="2012-04-27T00:00:00" u="1"/>
        <d v="2018-08-16T00:00:00" u="1"/>
        <d v="2019-08-16T00:00:00" u="1"/>
        <d v="2015-04-27T00:00:00" u="1"/>
        <d v="2020-08-16T00:00:00" u="1"/>
        <d v="2016-04-27T00:00:00" u="1"/>
        <d v="2018-04-27T00:00:00" u="1"/>
        <d v="2019-04-27T00:00:00" u="1"/>
        <d v="2020-04-27T00:00:00" u="1"/>
        <d v="2021-04-27T00:00:00" u="1"/>
        <d v="2013-09-16T00:00:00" u="1"/>
        <d v="2015-09-16T00:00:00" u="1"/>
        <d v="2016-09-16T00:00:00" u="1"/>
        <d v="2013-05-27T00:00:00" u="1"/>
        <d v="2018-09-16T00:00:00" u="1"/>
        <d v="2019-09-16T00:00:00" u="1"/>
        <d v="2020-09-16T00:00:00" u="1"/>
        <d v="2016-05-27T00:00:00" u="1"/>
        <d v="2018-05-27T00:00:00" u="1"/>
        <d v="2019-05-27T00:00:00" u="1"/>
        <d v="2013-10-16T00:00:00" u="1"/>
        <d v="2015-10-16T00:00:00" u="1"/>
        <d v="2016-10-16T00:00:00" u="1"/>
        <d v="2013-06-27T00:00:00" u="1"/>
        <d v="2015-06-27T00:00:00" u="1"/>
        <d v="2020-10-16T00:00:00" u="1"/>
        <d v="2016-06-27T00:00:00" u="1"/>
        <d v="2018-06-27T00:00:00" u="1"/>
        <d v="2019-06-27T00:00:00" u="1"/>
        <d v="2020-06-27T00:00:00" u="1"/>
        <d v="2011-11-16T00:00:00" u="1"/>
        <d v="2013-11-16T00:00:00" u="1"/>
        <d v="2015-11-16T00:00:00" u="1"/>
        <d v="2016-11-16T00:00:00" u="1"/>
        <d v="2013-07-27T00:00:00" u="1"/>
        <d v="2019-11-16T00:00:00" u="1"/>
        <d v="2015-07-27T00:00:00" u="1"/>
        <d v="2017-07-27T00:00:00" u="1"/>
        <d v="2018-07-27T00:00:00" u="1"/>
        <d v="2019-07-27T00:00:00" u="1"/>
        <d v="2011-12-16T00:00:00" u="1"/>
        <d v="2012-12-16T00:00:00" u="1"/>
        <d v="2013-12-16T00:00:00" u="1"/>
        <d v="2015-12-16T00:00:00" u="1"/>
        <d v="2011-08-27T00:00:00" u="1"/>
        <d v="2016-12-16T00:00:00" u="1"/>
        <d v="2017-12-16T00:00:00" u="1"/>
        <d v="2013-08-27T00:00:00" u="1"/>
        <d v="2019-12-16T00:00:00" u="1"/>
        <d v="2015-08-27T00:00:00" u="1"/>
        <d v="2020-12-16T00:00:00" u="1"/>
        <d v="2016-08-27T00:00:00" u="1"/>
        <d v="2018-08-27T00:00:00" u="1"/>
        <d v="2019-08-27T00:00:00" u="1"/>
        <d v="2020-08-27T00:00:00" u="1"/>
        <d v="2011-01-06T00:00:00" u="1"/>
        <d v="2013-01-06T00:00:00" u="1"/>
        <d v="2014-01-06T00:00:00" u="1"/>
        <d v="2016-01-06T00:00:00" u="1"/>
        <d v="2017-01-06T00:00:00" u="1"/>
        <d v="2018-01-06T00:00:00" u="1"/>
        <d v="2020-01-06T00:00:00" u="1"/>
        <d v="2013-09-27T00:00:00" u="1"/>
        <d v="2015-09-27T00:00:00" u="1"/>
        <d v="2016-09-27T00:00:00" u="1"/>
        <d v="2018-09-27T00:00:00" u="1"/>
        <d v="2019-09-27T00:00:00" u="1"/>
        <d v="2020-09-27T00:00:00" u="1"/>
        <d v="2013-02-06T00:00:00" u="1"/>
        <d v="2014-02-06T00:00:00" u="1"/>
        <d v="2017-02-06T00:00:00" u="1"/>
        <d v="2018-02-06T00:00:00" u="1"/>
        <d v="2020-02-06T00:00:00" u="1"/>
        <d v="2021-02-06T00:00:00" u="1"/>
        <d v="2013-10-27T00:00:00" u="1"/>
        <d v="2015-10-27T00:00:00" u="1"/>
        <d v="2016-10-27T00:00:00" u="1"/>
        <d v="2020-10-27T00:00:00" u="1"/>
        <d v="2014-03-06T00:00:00" u="1"/>
        <d v="2015-03-06T00:00:00" u="1"/>
        <d v="2016-03-06T00:00:00" u="1"/>
        <d v="2018-03-06T00:00:00" u="1"/>
        <d v="2019-03-06T00:00:00" u="1"/>
        <d v="2021-03-06T00:00:00" u="1"/>
        <d v="2013-11-27T00:00:00" u="1"/>
        <d v="2015-11-27T00:00:00" u="1"/>
        <d v="2016-11-27T00:00:00" u="1"/>
        <d v="2019-11-27T00:00:00" u="1"/>
        <d v="2012-04-06T00:00:00" u="1"/>
        <d v="2015-04-06T00:00:00" u="1"/>
        <d v="2016-04-06T00:00:00" u="1"/>
        <d v="2018-04-06T00:00:00" u="1"/>
        <d v="2019-04-06T00:00:00" u="1"/>
        <d v="2020-04-06T00:00:00" u="1"/>
        <d v="2011-12-27T00:00:00" u="1"/>
        <d v="2021-04-06T00:00:00" u="1"/>
        <d v="2012-12-27T00:00:00" u="1"/>
        <d v="2013-12-27T00:00:00" u="1"/>
        <d v="2015-12-27T00:00:00" u="1"/>
        <d v="2016-12-27T00:00:00" u="1"/>
        <d v="2017-12-27T00:00:00" u="1"/>
        <d v="2019-12-27T00:00:00" u="1"/>
        <d v="2020-12-27T00:00:00" u="1"/>
        <d v="2013-05-06T00:00:00" u="1"/>
        <d v="2011-01-17T00:00:00" u="1"/>
        <d v="2016-05-06T00:00:00" u="1"/>
        <d v="2013-01-17T00:00:00" u="1"/>
        <d v="2018-05-06T00:00:00" u="1"/>
        <d v="2014-01-17T00:00:00" u="1"/>
        <d v="2019-05-06T00:00:00" u="1"/>
        <d v="2016-01-17T00:00:00" u="1"/>
        <d v="2017-01-17T00:00:00" u="1"/>
        <d v="2018-01-17T00:00:00" u="1"/>
        <d v="2020-01-17T00:00:00" u="1"/>
        <d v="2013-06-06T00:00:00" u="1"/>
        <d v="2015-06-06T00:00:00" u="1"/>
        <d v="2016-06-06T00:00:00" u="1"/>
        <d v="2013-02-17T00:00:00" u="1"/>
        <d v="2018-06-06T00:00:00" u="1"/>
        <d v="2014-02-17T00:00:00" u="1"/>
        <d v="2019-06-06T00:00:00" u="1"/>
        <d v="2020-06-06T00:00:00" u="1"/>
        <d v="2017-02-17T00:00:00" u="1"/>
        <d v="2018-02-17T00:00:00" u="1"/>
        <d v="2020-02-17T00:00:00" u="1"/>
        <d v="2021-02-17T00:00:00" u="1"/>
        <d v="2013-07-06T00:00:00" u="1"/>
        <d v="2015-07-06T00:00:00" u="1"/>
        <d v="2017-07-06T00:00:00" u="1"/>
        <d v="2018-07-06T00:00:00" u="1"/>
        <d v="2014-03-17T00:00:00" u="1"/>
        <d v="2019-07-06T00:00:00" u="1"/>
        <d v="2015-03-17T00:00:00" u="1"/>
        <d v="2016-03-17T00:00:00" u="1"/>
        <d v="2018-03-17T00:00:00" u="1"/>
        <d v="2019-03-17T00:00:00" u="1"/>
        <d v="2021-03-17T00:00:00" u="1"/>
        <d v="2011-08-06T00:00:00" u="1"/>
        <d v="2013-08-06T00:00:00" u="1"/>
        <d v="2015-08-06T00:00:00" u="1"/>
        <d v="2016-08-06T00:00:00" u="1"/>
        <d v="2012-04-17T00:00:00" u="1"/>
        <d v="2018-08-06T00:00:00" u="1"/>
        <d v="2019-08-06T00:00:00" u="1"/>
        <d v="2015-04-17T00:00:00" u="1"/>
        <d v="2020-08-06T00:00:00" u="1"/>
        <d v="2016-04-17T00:00:00" u="1"/>
        <d v="2018-04-17T00:00:00" u="1"/>
        <d v="2019-04-17T00:00:00" u="1"/>
        <d v="2020-04-17T00:00:00" u="1"/>
        <d v="2021-04-17T00:00:00" u="1"/>
        <d v="2013-09-06T00:00:00" u="1"/>
        <d v="2015-09-06T00:00:00" u="1"/>
        <d v="2016-09-06T00:00:00" u="1"/>
        <d v="2013-05-17T00:00:00" u="1"/>
        <d v="2018-09-06T00:00:00" u="1"/>
        <d v="2019-09-06T00:00:00" u="1"/>
        <d v="2020-09-06T00:00:00" u="1"/>
        <d v="2011-01-28T00:00:00" u="1"/>
        <d v="2016-05-17T00:00:00" u="1"/>
        <d v="2013-01-28T00:00:00" u="1"/>
        <d v="2018-05-17T00:00:00" u="1"/>
        <d v="2014-01-28T00:00:00" u="1"/>
        <d v="2019-05-17T00:00:00" u="1"/>
        <d v="2016-01-28T00:00:00" u="1"/>
        <d v="2017-01-28T00:00:00" u="1"/>
        <d v="2018-01-28T00:00:00" u="1"/>
        <d v="2020-01-28T00:00:00" u="1"/>
        <d v="2013-10-06T00:00:00" u="1"/>
        <d v="2015-10-06T00:00:00" u="1"/>
        <d v="2016-10-06T00:00:00" u="1"/>
        <d v="2013-06-17T00:00:00" u="1"/>
        <d v="2015-06-17T00:00:00" u="1"/>
        <d v="2020-10-06T00:00:00" u="1"/>
        <d v="2016-06-17T00:00:00" u="1"/>
        <d v="2013-02-28T00:00:00" u="1"/>
        <d v="2018-06-17T00:00:00" u="1"/>
        <d v="2014-02-28T00:00:00" u="1"/>
        <d v="2019-06-17T00:00:00" u="1"/>
        <d v="2020-06-17T00:00:00" u="1"/>
        <d v="2017-02-28T00:00:00" u="1"/>
        <d v="2018-02-28T00:00:00" u="1"/>
        <d v="2020-02-28T00:00:00" u="1"/>
        <d v="2021-02-28T00:00:00" u="1"/>
        <d v="2013-11-06T00:00:00" u="1"/>
        <d v="2015-11-06T00:00:00" u="1"/>
        <d v="2016-11-06T00:00:00" u="1"/>
        <d v="2013-07-17T00:00:00" u="1"/>
        <d v="2019-11-06T00:00:00" u="1"/>
        <d v="2015-07-17T00:00:00" u="1"/>
        <d v="2017-07-17T00:00:00" u="1"/>
        <d v="2018-07-17T00:00:00" u="1"/>
        <d v="2014-03-28T00:00:00" u="1"/>
        <d v="2019-07-17T00:00:00" u="1"/>
        <d v="2015-03-28T00:00:00" u="1"/>
        <d v="2016-03-28T00:00:00" u="1"/>
        <d v="2018-03-28T00:00:00" u="1"/>
        <d v="2019-03-28T00:00:00" u="1"/>
        <d v="2021-03-28T00:00:00" u="1"/>
        <d v="2011-12-06T00:00:00" u="1"/>
        <d v="2012-12-06T00:00:00" u="1"/>
        <d v="2013-12-06T00:00:00" u="1"/>
        <d v="2015-12-06T00:00:00" u="1"/>
        <d v="2011-08-17T00:00:00" u="1"/>
        <d v="2016-12-06T00:00:00" u="1"/>
        <d v="2017-12-06T00:00:00" u="1"/>
        <d v="2013-08-17T00:00:00" u="1"/>
        <d v="2019-12-06T00:00:00" u="1"/>
        <d v="2015-08-17T00:00:00" u="1"/>
        <d v="2020-12-06T00:00:00" u="1"/>
        <d v="2016-08-17T00:00:00" u="1"/>
        <d v="2012-04-28T00:00:00" u="1"/>
        <d v="2018-08-17T00:00:00" u="1"/>
        <d v="2019-08-17T00:00:00" u="1"/>
        <d v="2015-04-28T00:00:00" u="1"/>
        <d v="2020-08-17T00:00:00" u="1"/>
        <d v="2016-04-28T00:00:00" u="1"/>
        <d v="2018-04-28T00:00:00" u="1"/>
        <d v="2019-04-28T00:00:00" u="1"/>
        <d v="2020-04-28T00:00:00" u="1"/>
        <d v="2021-04-28T00:00:00" u="1"/>
        <d v="2013-09-17T00:00:00" u="1"/>
        <d v="2015-09-17T00:00:00" u="1"/>
        <d v="2016-09-17T00:00:00" u="1"/>
        <d v="2013-05-28T00:00:00" u="1"/>
        <d v="2018-09-17T00:00:00" u="1"/>
        <d v="2019-09-17T00:00:00" u="1"/>
        <d v="2020-09-17T00:00:00" u="1"/>
        <d v="2016-05-28T00:00:00" u="1"/>
        <d v="2018-05-28T00:00:00" u="1"/>
        <d v="2019-05-28T00:00:00" u="1"/>
        <d v="2013-10-17T00:00:00" u="1"/>
        <d v="2015-10-17T00:00:00" u="1"/>
        <d v="2016-10-17T00:00:00" u="1"/>
        <d v="2013-06-28T00:00:00" u="1"/>
        <d v="2015-06-28T00:00:00" u="1"/>
        <d v="2020-10-17T00:00:00" u="1"/>
        <d v="2016-06-28T00:00:00" u="1"/>
        <d v="2018-06-28T00:00:00" u="1"/>
        <d v="2019-06-28T00:00:00" u="1"/>
        <d v="2020-06-28T00:00:00" u="1"/>
        <d v="2011-11-17T00:00:00" u="1"/>
        <d v="2013-11-17T00:00:00" u="1"/>
        <d v="2015-11-17T00:00:00" u="1"/>
        <d v="2016-11-17T00:00:00" u="1"/>
        <d v="2013-07-28T00:00:00" u="1"/>
        <d v="2019-11-17T00:00:00" u="1"/>
        <d v="2015-07-28T00:00:00" u="1"/>
        <d v="2017-07-28T00:00:00" u="1"/>
        <d v="2018-07-28T00:00:00" u="1"/>
        <d v="2019-07-28T00:00:00" u="1"/>
        <d v="2012-12-17T00:00:00" u="1"/>
        <d v="2013-12-17T00:00:00" u="1"/>
        <d v="2015-12-17T00:00:00" u="1"/>
        <d v="2011-08-28T00:00:00" u="1"/>
        <d v="2016-12-17T00:00:00" u="1"/>
        <d v="2017-12-17T00:00:00" u="1"/>
        <d v="2013-08-28T00:00:00" u="1"/>
        <d v="2019-12-17T00:00:00" u="1"/>
        <d v="2015-08-28T00:00:00" u="1"/>
        <d v="2020-12-17T00:00:00" u="1"/>
        <d v="2016-08-28T00:00:00" u="1"/>
        <d v="2018-08-28T00:00:00" u="1"/>
        <d v="2019-08-28T00:00:00" u="1"/>
        <d v="2020-08-28T00:00:00" u="1"/>
        <d v="2011-01-07T00:00:00" u="1"/>
        <d v="2013-01-07T00:00:00" u="1"/>
        <d v="2014-01-07T00:00:00" u="1"/>
        <d v="2016-01-07T00:00:00" u="1"/>
        <d v="2017-01-07T00:00:00" u="1"/>
        <d v="2018-01-07T00:00:00" u="1"/>
        <d v="2020-01-07T00:00:00" u="1"/>
        <d v="2013-09-28T00:00:00" u="1"/>
        <d v="2015-09-28T00:00:00" u="1"/>
        <d v="2016-09-28T00:00:00" u="1"/>
        <d v="2018-09-28T00:00:00" u="1"/>
        <d v="2019-09-28T00:00:00" u="1"/>
        <d v="2020-09-28T00:00:00" u="1"/>
        <d v="2013-02-07T00:00:00" u="1"/>
        <d v="2014-02-07T00:00:00" u="1"/>
        <d v="2017-02-07T00:00:00" u="1"/>
        <d v="2018-02-07T00:00:00" u="1"/>
        <d v="2020-02-07T00:00:00" u="1"/>
        <d v="2021-02-07T00:00:00" u="1"/>
        <d v="2013-10-28T00:00:00" u="1"/>
        <d v="2015-10-28T00:00:00" u="1"/>
        <d v="2016-10-28T00:00:00" u="1"/>
        <d v="2020-10-28T00:00:00" u="1"/>
        <d v="2014-03-07T00:00:00" u="1"/>
        <d v="2015-03-07T00:00:00" u="1"/>
        <d v="2016-03-07T00:00:00" u="1"/>
        <d v="2018-03-07T00:00:00" u="1"/>
        <d v="2019-03-07T00:00:00" u="1"/>
        <d v="2011-11-28T00:00:00" u="1"/>
        <d v="2021-03-07T00:00:00" u="1"/>
        <d v="2013-11-28T00:00:00" u="1"/>
        <d v="2015-11-28T00:00:00" u="1"/>
        <d v="2016-11-28T00:00:00" u="1"/>
        <d v="2019-11-28T00:00:00" u="1"/>
        <d v="2012-04-07T00:00:00" u="1"/>
        <d v="2015-04-07T00:00:00" u="1"/>
        <d v="2016-04-07T00:00:00" u="1"/>
        <d v="2018-04-07T00:00:00" u="1"/>
        <d v="2019-04-07T00:00:00" u="1"/>
        <d v="2020-04-07T00:00:00" u="1"/>
        <d v="2011-12-28T00:00:00" u="1"/>
        <d v="2021-04-07T00:00:00" u="1"/>
        <d v="2012-12-28T00:00:00" u="1"/>
        <d v="2013-12-28T00:00:00" u="1"/>
        <d v="2015-12-28T00:00:00" u="1"/>
        <d v="2016-12-28T00:00:00" u="1"/>
        <d v="2017-12-28T00:00:00" u="1"/>
        <d v="2019-12-28T00:00:00" u="1"/>
        <d v="2020-12-28T00:00:00" u="1"/>
        <d v="2013-05-07T00:00:00" u="1"/>
        <d v="2011-01-18T00:00:00" u="1"/>
        <d v="2016-05-07T00:00:00" u="1"/>
        <d v="2013-01-18T00:00:00" u="1"/>
        <d v="2018-05-07T00:00:00" u="1"/>
        <d v="2014-01-18T00:00:00" u="1"/>
        <d v="2019-05-07T00:00:00" u="1"/>
        <d v="2016-01-18T00:00:00" u="1"/>
        <d v="2017-01-18T00:00:00" u="1"/>
        <d v="2018-01-18T00:00:00" u="1"/>
        <d v="2020-01-18T00:00:00" u="1"/>
        <d v="2013-06-07T00:00:00" u="1"/>
        <d v="2015-06-07T00:00:00" u="1"/>
        <d v="2016-06-07T00:00:00" u="1"/>
        <d v="2013-02-18T00:00:00" u="1"/>
        <d v="2018-06-07T00:00:00" u="1"/>
        <d v="2014-02-18T00:00:00" u="1"/>
        <d v="2019-06-07T00:00:00" u="1"/>
        <d v="2020-06-07T00:00:00" u="1"/>
        <d v="2017-02-18T00:00:00" u="1"/>
        <d v="2018-02-18T00:00:00" u="1"/>
        <d v="2020-02-18T00:00:00" u="1"/>
        <d v="2021-02-18T00:00:00" u="1"/>
        <d v="2013-07-07T00:00:00" u="1"/>
        <d v="2015-07-07T00:00:00" u="1"/>
        <d v="2017-07-07T00:00:00" u="1"/>
        <d v="2018-07-07T00:00:00" u="1"/>
        <d v="2014-03-18T00:00:00" u="1"/>
        <d v="2019-07-07T00:00:00" u="1"/>
        <d v="2015-03-18T00:00:00" u="1"/>
        <d v="2016-03-18T00:00:00" u="1"/>
        <d v="2018-03-18T00:00:00" u="1"/>
        <d v="2019-03-18T00:00:00" u="1"/>
        <d v="2021-03-18T00:00:00" u="1"/>
        <d v="2011-08-07T00:00:00" u="1"/>
        <d v="2013-08-07T00:00:00" u="1"/>
        <d v="2015-08-07T00:00:00" u="1"/>
        <d v="2016-08-07T00:00:00" u="1"/>
        <d v="2012-04-18T00:00:00" u="1"/>
        <d v="2018-08-07T00:00:00" u="1"/>
        <d v="2019-08-07T00:00:00" u="1"/>
        <d v="2015-04-18T00:00:00" u="1"/>
        <d v="2020-08-07T00:00:00" u="1"/>
        <d v="2016-04-18T00:00:00" u="1"/>
        <d v="2018-04-18T00:00:00" u="1"/>
        <d v="2019-04-18T00:00:00" u="1"/>
        <d v="2020-04-18T00:00:00" u="1"/>
        <d v="2021-04-18T00:00:00" u="1"/>
        <d v="2013-09-07T00:00:00" u="1"/>
        <d v="2015-09-07T00:00:00" u="1"/>
        <d v="2016-09-07T00:00:00" u="1"/>
        <d v="2013-05-18T00:00:00" u="1"/>
        <d v="2018-09-07T00:00:00" u="1"/>
        <d v="2019-09-07T00:00:00" u="1"/>
        <d v="2020-09-07T00:00:00" u="1"/>
        <d v="2011-01-29T00:00:00" u="1"/>
        <d v="2016-05-18T00:00:00" u="1"/>
        <d v="2013-01-29T00:00:00" u="1"/>
        <d v="2018-05-18T00:00:00" u="1"/>
        <d v="2014-01-29T00:00:00" u="1"/>
        <d v="2019-05-18T00:00:00" u="1"/>
        <d v="2016-01-29T00:00:00" u="1"/>
        <d v="2017-01-29T00:00:00" u="1"/>
        <d v="2018-01-29T00:00:00" u="1"/>
        <d v="2020-01-29T00:00:00" u="1"/>
        <d v="2013-10-07T00:00:00" u="1"/>
        <d v="2015-10-07T00:00:00" u="1"/>
        <d v="2016-10-07T00:00:00" u="1"/>
        <d v="2013-06-18T00:00:00" u="1"/>
        <d v="2015-06-18T00:00:00" u="1"/>
        <d v="2020-10-07T00:00:00" u="1"/>
        <d v="2016-06-18T00:00:00" u="1"/>
        <d v="2018-06-18T00:00:00" u="1"/>
        <d v="2019-06-18T00:00:00" u="1"/>
        <d v="2020-06-18T00:00:00" u="1"/>
        <d v="2020-02-29T00:00:00" u="1"/>
        <d v="2011-11-07T00:00:00" u="1"/>
        <d v="2013-11-07T00:00:00" u="1"/>
        <d v="2015-11-07T00:00:00" u="1"/>
        <d v="2016-11-07T00:00:00" u="1"/>
        <d v="2013-07-18T00:00:00" u="1"/>
        <d v="2019-11-07T00:00:00" u="1"/>
        <d v="2015-07-18T00:00:00" u="1"/>
        <d v="2017-07-18T00:00:00" u="1"/>
        <d v="2018-07-18T00:00:00" u="1"/>
        <d v="2014-03-29T00:00:00" u="1"/>
        <d v="2019-07-18T00:00:00" u="1"/>
        <d v="2015-03-29T00:00:00" u="1"/>
        <d v="2016-03-29T00:00:00" u="1"/>
        <d v="2018-03-29T00:00:00" u="1"/>
        <d v="2019-03-29T00:00:00" u="1"/>
        <d v="2021-03-29T00:00:00" u="1"/>
        <d v="2011-12-07T00:00:00" u="1"/>
        <d v="2012-12-07T00:00:00" u="1"/>
        <d v="2013-12-07T00:00:00" u="1"/>
        <d v="2015-12-07T00:00:00" u="1"/>
        <d v="2011-08-18T00:00:00" u="1"/>
        <d v="2016-12-07T00:00:00" u="1"/>
        <d v="2017-12-07T00:00:00" u="1"/>
        <d v="2013-08-18T00:00:00" u="1"/>
        <d v="2019-12-07T00:00:00" u="1"/>
        <d v="2015-08-18T00:00:00" u="1"/>
        <d v="2020-12-07T00:00:00" u="1"/>
        <d v="2016-08-18T00:00:00" u="1"/>
        <d v="2012-04-29T00:00:00" u="1"/>
        <d v="2018-08-18T00:00:00" u="1"/>
        <d v="2019-08-18T00:00:00" u="1"/>
        <d v="2015-04-29T00:00:00" u="1"/>
        <d v="2020-08-18T00:00:00" u="1"/>
        <d v="2016-04-29T00:00:00" u="1"/>
        <d v="2018-04-29T00:00:00" u="1"/>
        <d v="2019-04-29T00:00:00" u="1"/>
        <d v="2020-04-29T00:00:00" u="1"/>
        <d v="2021-04-29T00:00:00" u="1"/>
        <d v="2015-09-18T00:00:00" u="1"/>
        <d v="2016-09-18T00:00:00" u="1"/>
        <d v="2013-05-29T00:00:00" u="1"/>
        <d v="2018-09-18T00:00:00" u="1"/>
        <d v="2019-09-18T00:00:00" u="1"/>
        <d v="2020-09-18T00:00:00" u="1"/>
        <d v="2016-05-29T00:00:00" u="1"/>
        <d v="2018-05-29T00:00:00" u="1"/>
        <d v="2019-05-29T00:00:00" u="1"/>
        <d v="2013-10-18T00:00:00" u="1"/>
        <d v="2015-10-18T00:00:00" u="1"/>
        <d v="2016-10-18T00:00:00" u="1"/>
        <d v="2013-06-29T00:00:00" u="1"/>
        <d v="2015-06-29T00:00:00" u="1"/>
        <d v="2020-10-18T00:00:00" u="1"/>
        <d v="2016-06-29T00:00:00" u="1"/>
        <d v="2018-06-29T00:00:00" u="1"/>
        <d v="2019-06-29T00:00:00" u="1"/>
        <d v="2020-06-29T00:00:00" u="1"/>
        <d v="2011-11-18T00:00:00" u="1"/>
        <d v="2013-11-18T00:00:00" u="1"/>
        <d v="2015-11-18T00:00:00" u="1"/>
        <d v="2016-11-18T00:00:00" u="1"/>
        <d v="2013-07-29T00:00:00" u="1"/>
        <d v="2019-11-18T00:00:00" u="1"/>
        <d v="2015-07-29T00:00:00" u="1"/>
        <d v="2017-07-29T00:00:00" u="1"/>
        <d v="2018-07-29T00:00:00" u="1"/>
        <d v="2019-07-29T00:00:00" u="1"/>
        <d v="2012-12-18T00:00:00" u="1"/>
        <d v="2013-12-18T00:00:00" u="1"/>
        <d v="2015-12-18T00:00:00" u="1"/>
        <d v="2011-08-29T00:00:00" u="1"/>
        <d v="2016-12-18T00:00:00" u="1"/>
        <d v="2017-12-18T00:00:00" u="1"/>
        <d v="2013-08-29T00:00:00" u="1"/>
        <d v="2019-12-18T00:00:00" u="1"/>
        <d v="2015-08-29T00:00:00" u="1"/>
        <d v="2020-12-18T00:00:00" u="1"/>
        <d v="2016-08-29T00:00:00" u="1"/>
        <d v="2018-08-29T00:00:00" u="1"/>
        <d v="2019-08-29T00:00:00" u="1"/>
        <d v="2020-08-29T00:00:00" u="1"/>
        <d v="2011-01-08T00:00:00" u="1"/>
        <d v="2013-01-08T00:00:00" u="1"/>
        <d v="2014-01-08T00:00:00" u="1"/>
        <d v="2016-01-08T00:00:00" u="1"/>
        <d v="2017-01-08T00:00:00" u="1"/>
        <d v="2018-01-08T00:00:00" u="1"/>
        <d v="2020-01-08T00:00:00" u="1"/>
        <d v="2013-09-29T00:00:00" u="1"/>
        <d v="2015-09-29T00:00:00" u="1"/>
        <d v="2016-09-29T00:00:00" u="1"/>
        <d v="2018-09-29T00:00:00" u="1"/>
        <d v="2019-09-29T00:00:00" u="1"/>
        <d v="2020-09-29T00:00:00" u="1"/>
        <d v="2013-02-08T00:00:00" u="1"/>
        <d v="2014-02-08T00:00:00" u="1"/>
        <d v="2017-02-08T00:00:00" u="1"/>
        <d v="2018-02-08T00:00:00" u="1"/>
        <d v="2020-02-08T00:00:00" u="1"/>
        <d v="2021-02-08T00:00:00" u="1"/>
        <d v="2013-10-29T00:00:00" u="1"/>
        <d v="2015-10-29T00:00:00" u="1"/>
        <d v="2016-10-29T00:00:00" u="1"/>
        <d v="2020-10-29T00:00:00" u="1"/>
        <d v="2014-03-08T00:00:00" u="1"/>
        <d v="2015-03-08T00:00:00" u="1"/>
        <d v="2016-03-08T00:00:00" u="1"/>
        <d v="2018-03-08T00:00:00" u="1"/>
        <d v="2019-03-08T00:00:00" u="1"/>
        <d v="2011-11-29T00:00:00" u="1"/>
        <d v="2021-03-08T00:00:00" u="1"/>
        <d v="2013-11-29T00:00:00" u="1"/>
        <d v="2015-11-29T00:00:00" u="1"/>
        <d v="2016-11-29T00:00:00" u="1"/>
        <d v="2019-11-29T00:00:00" u="1"/>
        <d v="2012-04-08T00:00:00" u="1"/>
        <d v="2015-04-08T00:00:00" u="1"/>
        <d v="2016-04-08T00:00:00" u="1"/>
        <d v="2018-04-08T00:00:00" u="1"/>
        <d v="2019-04-08T00:00:00" u="1"/>
        <d v="2020-04-08T00:00:00" u="1"/>
        <d v="2011-12-29T00:00:00" u="1"/>
        <d v="2021-04-08T00:00:00" u="1"/>
        <d v="2012-12-29T00:00:00" u="1"/>
        <d v="2013-12-29T00:00:00" u="1"/>
        <d v="2015-12-29T00:00:00" u="1"/>
        <d v="2016-12-29T00:00:00" u="1"/>
        <d v="2017-12-29T00:00:00" u="1"/>
        <d v="2019-12-29T00:00:00" u="1"/>
        <d v="2020-12-29T00:00:00" u="1"/>
        <d v="2013-05-08T00:00:00" u="1"/>
        <d v="2011-01-19T00:00:00" u="1"/>
        <d v="2016-05-08T00:00:00" u="1"/>
        <d v="2013-01-19T00:00:00" u="1"/>
        <d v="2018-05-08T00:00:00" u="1"/>
        <d v="2014-01-19T00:00:00" u="1"/>
        <d v="2019-05-08T00:00:00" u="1"/>
        <d v="2016-01-19T00:00:00" u="1"/>
        <d v="2017-01-19T00:00:00" u="1"/>
        <d v="2018-01-19T00:00:00" u="1"/>
        <d v="2020-01-19T00:00:00" u="1"/>
        <d v="2013-06-08T00:00:00" u="1"/>
        <d v="2015-06-08T00:00:00" u="1"/>
        <d v="2016-06-08T00:00:00" u="1"/>
        <d v="2013-02-19T00:00:00" u="1"/>
        <d v="2018-06-08T00:00:00" u="1"/>
        <d v="2014-02-19T00:00:00" u="1"/>
        <d v="2019-06-08T00:00:00" u="1"/>
        <d v="2020-06-08T00:00:00" u="1"/>
        <d v="2017-02-19T00:00:00" u="1"/>
        <d v="2018-02-19T00:00:00" u="1"/>
        <d v="2020-02-19T00:00:00" u="1"/>
        <d v="2021-02-19T00:00:00" u="1"/>
        <d v="2013-07-08T00:00:00" u="1"/>
        <d v="2015-07-08T00:00:00" u="1"/>
        <d v="2017-07-08T00:00:00" u="1"/>
        <d v="2018-07-08T00:00:00" u="1"/>
        <d v="2014-03-19T00:00:00" u="1"/>
        <d v="2019-07-08T00:00:00" u="1"/>
        <d v="2015-03-19T00:00:00" u="1"/>
        <d v="2016-03-19T00:00:00" u="1"/>
        <d v="2018-03-19T00:00:00" u="1"/>
        <d v="2019-03-19T00:00:00" u="1"/>
        <d v="2021-03-19T00:00:00" u="1"/>
        <d v="2011-08-08T00:00:00" u="1"/>
        <d v="2013-08-08T00:00:00" u="1"/>
        <d v="2015-08-08T00:00:00" u="1"/>
        <d v="2016-08-08T00:00:00" u="1"/>
        <d v="2012-04-19T00:00:00" u="1"/>
        <d v="2018-08-08T00:00:00" u="1"/>
        <d v="2019-08-08T00:00:00" u="1"/>
        <d v="2015-04-19T00:00:00" u="1"/>
        <d v="2020-08-08T00:00:00" u="1"/>
        <d v="2016-04-19T00:00:00" u="1"/>
        <d v="2018-04-19T00:00:00" u="1"/>
        <d v="2019-04-19T00:00:00" u="1"/>
        <d v="2020-04-19T00:00:00" u="1"/>
        <d v="2021-04-19T00:00:00" u="1"/>
        <d v="2013-09-08T00:00:00" u="1"/>
        <d v="2015-09-08T00:00:00" u="1"/>
        <d v="2016-09-08T00:00:00" u="1"/>
        <d v="2013-05-19T00:00:00" u="1"/>
        <d v="2018-09-08T00:00:00" u="1"/>
        <d v="2019-09-08T00:00:00" u="1"/>
        <d v="2020-09-08T00:00:00" u="1"/>
        <d v="2011-01-30T00:00:00" u="1"/>
        <d v="2016-05-19T00:00:00" u="1"/>
        <d v="2013-01-30T00:00:00" u="1"/>
        <d v="2018-05-19T00:00:00" u="1"/>
        <d v="2014-01-30T00:00:00" u="1"/>
        <d v="2019-05-19T00:00:00" u="1"/>
        <d v="2016-01-30T00:00:00" u="1"/>
        <d v="2017-01-30T00:00:00" u="1"/>
        <d v="2018-01-30T00:00:00" u="1"/>
        <d v="2020-01-30T00:00:00" u="1"/>
        <d v="2013-10-08T00:00:00" u="1"/>
        <d v="2015-10-08T00:00:00" u="1"/>
        <d v="2016-10-08T00:00:00" u="1"/>
        <d v="2013-06-19T00:00:00" u="1"/>
        <d v="2015-06-19T00:00:00" u="1"/>
        <d v="2020-10-08T00:00:00" u="1"/>
        <d v="2016-06-19T00:00:00" u="1"/>
        <d v="2018-06-19T00:00:00" u="1"/>
        <d v="2019-06-19T00:00:00" u="1"/>
        <d v="2020-06-19T00:00:00" u="1"/>
        <d v="2011-11-08T00:00:00" u="1"/>
        <d v="2013-11-08T00:00:00" u="1"/>
        <d v="2015-11-08T00:00:00" u="1"/>
        <d v="2016-11-08T00:00:00" u="1"/>
        <d v="2013-07-19T00:00:00" u="1"/>
        <d v="2019-11-08T00:00:00" u="1"/>
        <d v="2015-07-19T00:00:00" u="1"/>
        <d v="2017-07-19T00:00:00" u="1"/>
        <d v="2018-07-19T00:00:00" u="1"/>
        <d v="2014-03-30T00:00:00" u="1"/>
        <d v="2019-07-19T00:00:00" u="1"/>
        <d v="2015-03-30T00:00:00" u="1"/>
        <d v="2016-03-30T00:00:00" u="1"/>
        <d v="2018-03-30T00:00:00" u="1"/>
        <d v="2019-03-30T00:00:00" u="1"/>
        <d v="2021-03-30T00:00:00" u="1"/>
        <d v="2012-12-08T00:00:00" u="1"/>
        <d v="2013-12-08T00:00:00" u="1"/>
        <d v="2015-12-08T00:00:00" u="1"/>
        <d v="2011-08-19T00:00:00" u="1"/>
        <d v="2016-12-08T00:00:00" u="1"/>
        <d v="2017-12-08T00:00:00" u="1"/>
        <d v="2013-08-19T00:00:00" u="1"/>
        <d v="2019-12-08T00:00:00" u="1"/>
        <d v="2015-08-19T00:00:00" u="1"/>
        <d v="2020-12-08T00:00:00" u="1"/>
        <d v="2016-08-19T00:00:00" u="1"/>
        <d v="2012-04-30T00:00:00" u="1"/>
        <d v="2018-08-19T00:00:00" u="1"/>
        <d v="2019-08-19T00:00:00" u="1"/>
        <d v="2015-04-30T00:00:00" u="1"/>
        <d v="2020-08-19T00:00:00" u="1"/>
        <d v="2016-04-30T00:00:00" u="1"/>
        <d v="2018-04-30T00:00:00" u="1"/>
        <d v="2019-04-30T00:00:00" u="1"/>
        <d v="2020-04-30T00:00:00" u="1"/>
        <d v="2021-04-30T00:00:00" u="1"/>
      </sharedItems>
    </cacheField>
    <cacheField name="Monto" numFmtId="0">
      <sharedItems containsString="0" containsBlank="1" containsNumber="1" containsInteger="1" minValue="0" maxValue="0"/>
    </cacheField>
  </cacheFields>
  <calculatedItems count="1">
    <calculatedItem>
      <pivotArea cacheIndex="1" outline="0" fieldPosition="0">
        <references count="1">
          <reference field="0" count="1">
            <x v="91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409.852274999997" createdVersion="3" refreshedVersion="7" recordCount="1043" xr:uid="{00000000-000A-0000-FFFF-FFFF03000000}">
  <cacheSource type="worksheet">
    <worksheetSource ref="A3:B2954" sheet="Transbank"/>
  </cacheSource>
  <cacheFields count="2">
    <cacheField name="Fecha" numFmtId="0">
      <sharedItems containsNonDate="0" containsDate="1" containsString="0" containsBlank="1" minDate="2011-01-01T00:00:00" maxDate="2021-09-01T00:00:00" count="2409"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m/>
        <d v="2015-09-19T00:00:00" u="1"/>
        <d v="2016-09-19T00:00:00" u="1"/>
        <d v="2013-05-30T00:00:00" u="1"/>
        <d v="2018-09-19T00:00:00" u="1"/>
        <d v="2019-09-19T00:00:00" u="1"/>
        <d v="2020-09-19T00:00:00" u="1"/>
        <d v="2016-05-30T00:00:00" u="1"/>
        <d v="2018-05-30T00:00:00" u="1"/>
        <d v="2019-05-30T00:00:00" u="1"/>
        <d v="2020-05-30T00:00:00" u="1"/>
        <d v="2013-10-19T00:00:00" u="1"/>
        <d v="2015-10-19T00:00:00" u="1"/>
        <d v="2016-10-19T00:00:00" u="1"/>
        <d v="2019-10-19T00:00:00" u="1"/>
        <d v="2015-06-30T00:00:00" u="1"/>
        <d v="2020-10-19T00:00:00" u="1"/>
        <d v="2016-06-30T00:00:00" u="1"/>
        <d v="2018-06-30T00:00:00" u="1"/>
        <d v="2019-06-30T00:00:00" u="1"/>
        <d v="2020-06-30T00:00:00" u="1"/>
        <d v="2013-11-19T00:00:00" u="1"/>
        <d v="2015-11-19T00:00:00" u="1"/>
        <d v="2016-11-19T00:00:00" u="1"/>
        <d v="2013-07-30T00:00:00" u="1"/>
        <d v="2019-11-19T00:00:00" u="1"/>
        <d v="2015-07-30T00:00:00" u="1"/>
        <d v="2020-11-19T00:00:00" u="1"/>
        <d v="2017-07-30T00:00:00" u="1"/>
        <d v="2018-07-30T00:00:00" u="1"/>
        <d v="2019-07-30T00:00:00" u="1"/>
        <d v="2020-07-30T00:00:00" u="1"/>
        <d v="2011-12-19T00:00:00" u="1"/>
        <d v="2012-12-19T00:00:00" u="1"/>
        <d v="2013-12-19T00:00:00" u="1"/>
        <d v="2015-12-19T00:00:00" u="1"/>
        <d v="2011-08-30T00:00:00" u="1"/>
        <d v="2016-12-19T00:00:00" u="1"/>
        <d v="2017-12-19T00:00:00" u="1"/>
        <d v="2013-08-30T00:00:00" u="1"/>
        <d v="2019-12-19T00:00:00" u="1"/>
        <d v="2015-08-30T00:00:00" u="1"/>
        <d v="2020-12-19T00:00:00" u="1"/>
        <d v="2016-08-30T00:00:00" u="1"/>
        <d v="2018-08-30T00:00:00" u="1"/>
        <d v="2019-08-30T00:00:00" u="1"/>
        <d v="2020-08-30T00:00:00" u="1"/>
        <d v="2011-01-09T00:00:00" u="1"/>
        <d v="2012-01-09T00:00:00" u="1"/>
        <d v="2013-01-09T00:00:00" u="1"/>
        <d v="2014-01-09T00:00:00" u="1"/>
        <d v="2016-01-09T00:00:00" u="1"/>
        <d v="2017-01-09T00:00:00" u="1"/>
        <d v="2018-01-09T00:00:00" u="1"/>
        <d v="2020-01-09T00:00:00" u="1"/>
        <d v="2021-01-09T00:00:00" u="1"/>
        <d v="2013-09-30T00:00:00" u="1"/>
        <d v="2015-09-30T00:00:00" u="1"/>
        <d v="2016-09-30T00:00:00" u="1"/>
        <d v="2018-09-30T00:00:00" u="1"/>
        <d v="2019-09-30T00:00:00" u="1"/>
        <d v="2020-09-30T00:00:00" u="1"/>
        <d v="2012-02-09T00:00:00" u="1"/>
        <d v="2013-02-09T00:00:00" u="1"/>
        <d v="2014-02-09T00:00:00" u="1"/>
        <d v="2017-02-09T00:00:00" u="1"/>
        <d v="2018-02-09T00:00:00" u="1"/>
        <d v="2020-02-09T00:00:00" u="1"/>
        <d v="2021-02-09T00:00:00" u="1"/>
        <d v="2013-10-30T00:00:00" u="1"/>
        <d v="2015-10-30T00:00:00" u="1"/>
        <d v="2016-10-30T00:00:00" u="1"/>
        <d v="2019-10-30T00:00:00" u="1"/>
        <d v="2020-10-30T00:00:00" u="1"/>
        <d v="2014-03-09T00:00:00" u="1"/>
        <d v="2015-03-09T00:00:00" u="1"/>
        <d v="2016-03-09T00:00:00" u="1"/>
        <d v="2018-03-09T00:00:00" u="1"/>
        <d v="2019-03-09T00:00:00" u="1"/>
        <d v="2020-03-09T00:00:00" u="1"/>
        <d v="2011-11-30T00:00:00" u="1"/>
        <d v="2021-03-09T00:00:00" u="1"/>
        <d v="2013-11-30T00:00:00" u="1"/>
        <d v="2015-11-30T00:00:00" u="1"/>
        <d v="2016-11-30T00:00:00" u="1"/>
        <d v="2019-11-30T00:00:00" u="1"/>
        <d v="2020-11-30T00:00:00" u="1"/>
        <d v="2012-04-09T00:00:00" u="1"/>
        <d v="2015-04-09T00:00:00" u="1"/>
        <d v="2016-04-09T00:00:00" u="1"/>
        <d v="2018-04-09T00:00:00" u="1"/>
        <d v="2019-04-09T00:00:00" u="1"/>
        <d v="2020-04-09T00:00:00" u="1"/>
        <d v="2011-12-30T00:00:00" u="1"/>
        <d v="2021-04-09T00:00:00" u="1"/>
        <d v="2012-12-30T00:00:00" u="1"/>
        <d v="2013-12-30T00:00:00" u="1"/>
        <d v="2015-12-30T00:00:00" u="1"/>
        <d v="2016-12-30T00:00:00" u="1"/>
        <d v="2017-12-30T00:00:00" u="1"/>
        <d v="2019-12-30T00:00:00" u="1"/>
        <d v="2020-12-30T00:00:00" u="1"/>
        <d v="2013-05-09T00:00:00" u="1"/>
        <d v="2011-01-20T00:00:00" u="1"/>
        <d v="2016-05-09T00:00:00" u="1"/>
        <d v="2012-01-20T00:00:00" u="1"/>
        <d v="2013-01-20T00:00:00" u="1"/>
        <d v="2018-05-09T00:00:00" u="1"/>
        <d v="2014-01-20T00:00:00" u="1"/>
        <d v="2019-05-09T00:00:00" u="1"/>
        <d v="2020-05-09T00:00:00" u="1"/>
        <d v="2016-01-20T00:00:00" u="1"/>
        <d v="2017-01-20T00:00:00" u="1"/>
        <d v="2018-01-20T00:00:00" u="1"/>
        <d v="2020-01-20T00:00:00" u="1"/>
        <d v="2021-01-20T00:00:00" u="1"/>
        <d v="2013-06-09T00:00:00" u="1"/>
        <d v="2015-06-09T00:00:00" u="1"/>
        <d v="2016-06-09T00:00:00" u="1"/>
        <d v="2013-02-20T00:00:00" u="1"/>
        <d v="2018-06-09T00:00:00" u="1"/>
        <d v="2014-02-20T00:00:00" u="1"/>
        <d v="2019-06-09T00:00:00" u="1"/>
        <d v="2020-06-09T00:00:00" u="1"/>
        <d v="2017-02-20T00:00:00" u="1"/>
        <d v="2018-02-20T00:00:00" u="1"/>
        <d v="2020-02-20T00:00:00" u="1"/>
        <d v="2021-02-20T00:00:00" u="1"/>
        <d v="2013-07-09T00:00:00" u="1"/>
        <d v="2015-07-09T00:00:00" u="1"/>
        <d v="2017-07-09T00:00:00" u="1"/>
        <d v="2018-07-09T00:00:00" u="1"/>
        <d v="2014-03-20T00:00:00" u="1"/>
        <d v="2019-07-09T00:00:00" u="1"/>
        <d v="2015-03-20T00:00:00" u="1"/>
        <d v="2020-07-09T00:00:00" u="1"/>
        <d v="2016-03-20T00:00:00" u="1"/>
        <d v="2018-03-20T00:00:00" u="1"/>
        <d v="2019-03-20T00:00:00" u="1"/>
        <d v="2020-03-20T00:00:00" u="1"/>
        <d v="2021-03-20T00:00:00" u="1"/>
        <d v="2011-08-09T00:00:00" u="1"/>
        <d v="2013-08-09T00:00:00" u="1"/>
        <d v="2015-08-09T00:00:00" u="1"/>
        <d v="2016-08-09T00:00:00" u="1"/>
        <d v="2012-04-20T00:00:00" u="1"/>
        <d v="2018-08-09T00:00:00" u="1"/>
        <d v="2019-08-09T00:00:00" u="1"/>
        <d v="2015-04-20T00:00:00" u="1"/>
        <d v="2020-08-09T00:00:00" u="1"/>
        <d v="2016-04-20T00:00:00" u="1"/>
        <d v="2018-04-20T00:00:00" u="1"/>
        <d v="2019-04-20T00:00:00" u="1"/>
        <d v="2020-04-20T00:00:00" u="1"/>
        <d v="2021-04-20T00:00:00" u="1"/>
        <d v="2013-09-09T00:00:00" u="1"/>
        <d v="2015-09-09T00:00:00" u="1"/>
        <d v="2016-09-09T00:00:00" u="1"/>
        <d v="2013-05-20T00:00:00" u="1"/>
        <d v="2018-09-09T00:00:00" u="1"/>
        <d v="2019-09-09T00:00:00" u="1"/>
        <d v="2020-09-09T00:00:00" u="1"/>
        <d v="2011-01-31T00:00:00" u="1"/>
        <d v="2016-05-20T00:00:00" u="1"/>
        <d v="2012-01-31T00:00:00" u="1"/>
        <d v="2013-01-31T00:00:00" u="1"/>
        <d v="2018-05-20T00:00:00" u="1"/>
        <d v="2014-01-31T00:00:00" u="1"/>
        <d v="2019-05-20T00:00:00" u="1"/>
        <d v="2020-05-20T00:00:00" u="1"/>
        <d v="2016-01-31T00:00:00" u="1"/>
        <d v="2017-01-31T00:00:00" u="1"/>
        <d v="2018-01-31T00:00:00" u="1"/>
        <d v="2020-01-31T00:00:00" u="1"/>
        <d v="2021-01-31T00:00:00" u="1"/>
        <d v="2013-10-09T00:00:00" u="1"/>
        <d v="2015-10-09T00:00:00" u="1"/>
        <d v="2016-10-09T00:00:00" u="1"/>
        <d v="2013-06-20T00:00:00" u="1"/>
        <d v="2019-10-09T00:00:00" u="1"/>
        <d v="2015-06-20T00:00:00" u="1"/>
        <d v="2020-10-09T00:00:00" u="1"/>
        <d v="2016-06-20T00:00:00" u="1"/>
        <d v="2018-06-20T00:00:00" u="1"/>
        <d v="2019-06-20T00:00:00" u="1"/>
        <d v="2020-06-20T00:00:00" u="1"/>
        <d v="2011-11-09T00:00:00" u="1"/>
        <d v="2013-11-09T00:00:00" u="1"/>
        <d v="2015-11-09T00:00:00" u="1"/>
        <d v="2016-11-09T00:00:00" u="1"/>
        <d v="2013-07-20T00:00:00" u="1"/>
        <d v="2019-11-09T00:00:00" u="1"/>
        <d v="2015-07-20T00:00:00" u="1"/>
        <d v="2020-11-09T00:00:00" u="1"/>
        <d v="2017-07-20T00:00:00" u="1"/>
        <d v="2018-07-20T00:00:00" u="1"/>
        <d v="2014-03-31T00:00:00" u="1"/>
        <d v="2019-07-20T00:00:00" u="1"/>
        <d v="2015-03-31T00:00:00" u="1"/>
        <d v="2020-07-20T00:00:00" u="1"/>
        <d v="2016-03-31T00:00:00" u="1"/>
        <d v="2018-03-31T00:00:00" u="1"/>
        <d v="2019-03-31T00:00:00" u="1"/>
        <d v="2020-03-31T00:00:00" u="1"/>
        <d v="2021-03-31T00:00:00" u="1"/>
        <d v="2011-12-09T00:00:00" u="1"/>
        <d v="2012-12-09T00:00:00" u="1"/>
        <d v="2013-12-09T00:00:00" u="1"/>
        <d v="2015-12-09T00:00:00" u="1"/>
        <d v="2011-08-20T00:00:00" u="1"/>
        <d v="2016-12-09T00:00:00" u="1"/>
        <d v="2017-12-09T00:00:00" u="1"/>
        <d v="2013-08-20T00:00:00" u="1"/>
        <d v="2019-12-09T00:00:00" u="1"/>
        <d v="2015-08-20T00:00:00" u="1"/>
        <d v="2020-12-09T00:00:00" u="1"/>
        <d v="2016-08-20T00:00:00" u="1"/>
        <d v="2018-08-20T00:00:00" u="1"/>
        <d v="2019-08-20T00:00:00" u="1"/>
        <d v="2020-08-20T00:00:00" u="1"/>
        <d v="2015-09-20T00:00:00" u="1"/>
        <d v="2016-09-20T00:00:00" u="1"/>
        <d v="2013-05-31T00:00:00" u="1"/>
        <d v="2018-09-20T00:00:00" u="1"/>
        <d v="2019-09-20T00:00:00" u="1"/>
        <d v="2020-09-20T00:00:00" u="1"/>
        <d v="2016-05-31T00:00:00" u="1"/>
        <d v="2019-05-31T00:00:00" u="1"/>
        <d v="2020-05-31T00:00:00" u="1"/>
        <d v="2013-10-20T00:00:00" u="1"/>
        <d v="2015-10-20T00:00:00" u="1"/>
        <d v="2016-10-20T00:00:00" u="1"/>
        <d v="2019-10-20T00:00:00" u="1"/>
        <d v="2020-10-20T00:00:00" u="1"/>
        <d v="2013-11-20T00:00:00" u="1"/>
        <d v="2015-11-20T00:00:00" u="1"/>
        <d v="2016-11-20T00:00:00" u="1"/>
        <d v="2013-07-31T00:00:00" u="1"/>
        <d v="2019-11-20T00:00:00" u="1"/>
        <d v="2015-07-31T00:00:00" u="1"/>
        <d v="2020-11-20T00:00:00" u="1"/>
        <d v="2017-07-31T00:00:00" u="1"/>
        <d v="2018-07-31T00:00:00" u="1"/>
        <d v="2019-07-31T00:00:00" u="1"/>
        <d v="2020-07-31T00:00:00" u="1"/>
        <d v="2011-12-20T00:00:00" u="1"/>
        <d v="2012-12-20T00:00:00" u="1"/>
        <d v="2013-12-20T00:00:00" u="1"/>
        <d v="2015-12-20T00:00:00" u="1"/>
        <d v="2011-08-31T00:00:00" u="1"/>
        <d v="2016-12-20T00:00:00" u="1"/>
        <d v="2017-12-20T00:00:00" u="1"/>
        <d v="2013-08-31T00:00:00" u="1"/>
        <d v="2019-12-20T00:00:00" u="1"/>
        <d v="2015-08-31T00:00:00" u="1"/>
        <d v="2020-12-20T00:00:00" u="1"/>
        <d v="2016-08-31T00:00:00" u="1"/>
        <d v="2018-08-31T00:00:00" u="1"/>
        <d v="2019-08-31T00:00:00" u="1"/>
        <d v="2020-08-31T00:00:00" u="1"/>
        <d v="2011-01-10T00:00:00" u="1"/>
        <d v="2012-01-10T00:00:00" u="1"/>
        <d v="2013-01-10T00:00:00" u="1"/>
        <d v="2014-01-10T00:00:00" u="1"/>
        <d v="2016-01-10T00:00:00" u="1"/>
        <d v="2017-01-10T00:00:00" u="1"/>
        <d v="2018-01-10T00:00:00" u="1"/>
        <d v="2020-01-10T00:00:00" u="1"/>
        <d v="2021-01-10T00:00:00" u="1"/>
        <d v="2012-02-10T00:00:00" u="1"/>
        <d v="2013-02-10T00:00:00" u="1"/>
        <d v="2014-02-10T00:00:00" u="1"/>
        <d v="2017-02-10T00:00:00" u="1"/>
        <d v="2018-02-10T00:00:00" u="1"/>
        <d v="2020-02-10T00:00:00" u="1"/>
        <d v="2021-02-10T00:00:00" u="1"/>
        <d v="2013-10-31T00:00:00" u="1"/>
        <d v="2015-10-31T00:00:00" u="1"/>
        <d v="2016-10-31T00:00:00" u="1"/>
        <d v="2019-10-31T00:00:00" u="1"/>
        <d v="2020-10-31T00:00:00" u="1"/>
        <d v="2014-03-10T00:00:00" u="1"/>
        <d v="2015-03-10T00:00:00" u="1"/>
        <d v="2016-03-10T00:00:00" u="1"/>
        <d v="2018-03-10T00:00:00" u="1"/>
        <d v="2019-03-10T00:00:00" u="1"/>
        <d v="2020-03-10T00:00:00" u="1"/>
        <d v="2021-03-10T00:00:00" u="1"/>
        <d v="2012-04-10T00:00:00" u="1"/>
        <d v="2015-04-10T00:00:00" u="1"/>
        <d v="2016-04-10T00:00:00" u="1"/>
        <d v="2018-04-10T00:00:00" u="1"/>
        <d v="2019-04-10T00:00:00" u="1"/>
        <d v="2020-04-10T00:00:00" u="1"/>
        <d v="2011-12-31T00:00:00" u="1"/>
        <d v="2021-04-10T00:00:00" u="1"/>
        <d v="2012-12-31T00:00:00" u="1"/>
        <d v="2013-12-31T00:00:00" u="1"/>
        <d v="2015-12-31T00:00:00" u="1"/>
        <d v="2017-12-31T00:00:00" u="1"/>
        <d v="2019-12-31T00:00:00" u="1"/>
        <d v="2020-12-31T00:00:00" u="1"/>
        <d v="2013-05-10T00:00:00" u="1"/>
        <d v="2011-01-21T00:00:00" u="1"/>
        <d v="2016-05-10T00:00:00" u="1"/>
        <d v="2012-01-21T00:00:00" u="1"/>
        <d v="2013-01-21T00:00:00" u="1"/>
        <d v="2018-05-10T00:00:00" u="1"/>
        <d v="2014-01-21T00:00:00" u="1"/>
        <d v="2019-05-10T00:00:00" u="1"/>
        <d v="2020-05-10T00:00:00" u="1"/>
        <d v="2016-01-21T00:00:00" u="1"/>
        <d v="2017-01-21T00:00:00" u="1"/>
        <d v="2018-01-21T00:00:00" u="1"/>
        <d v="2020-01-21T00:00:00" u="1"/>
        <d v="2021-01-21T00:00:00" u="1"/>
        <d v="2013-06-10T00:00:00" u="1"/>
        <d v="2015-06-10T00:00:00" u="1"/>
        <d v="2016-06-10T00:00:00" u="1"/>
        <d v="2013-02-21T00:00:00" u="1"/>
        <d v="2018-06-10T00:00:00" u="1"/>
        <d v="2014-02-21T00:00:00" u="1"/>
        <d v="2019-06-10T00:00:00" u="1"/>
        <d v="2020-06-10T00:00:00" u="1"/>
        <d v="2017-02-21T00:00:00" u="1"/>
        <d v="2018-02-21T00:00:00" u="1"/>
        <d v="2020-02-21T00:00:00" u="1"/>
        <d v="2021-02-21T00:00:00" u="1"/>
        <d v="2013-07-10T00:00:00" u="1"/>
        <d v="2015-07-10T00:00:00" u="1"/>
        <d v="2017-07-10T00:00:00" u="1"/>
        <d v="2018-07-10T00:00:00" u="1"/>
        <d v="2014-03-21T00:00:00" u="1"/>
        <d v="2019-07-10T00:00:00" u="1"/>
        <d v="2015-03-21T00:00:00" u="1"/>
        <d v="2020-07-10T00:00:00" u="1"/>
        <d v="2016-03-21T00:00:00" u="1"/>
        <d v="2018-03-21T00:00:00" u="1"/>
        <d v="2019-03-21T00:00:00" u="1"/>
        <d v="2020-03-21T00:00:00" u="1"/>
        <d v="2021-03-21T00:00:00" u="1"/>
        <d v="2011-08-10T00:00:00" u="1"/>
        <d v="2013-08-10T00:00:00" u="1"/>
        <d v="2015-08-10T00:00:00" u="1"/>
        <d v="2016-08-10T00:00:00" u="1"/>
        <d v="2012-04-21T00:00:00" u="1"/>
        <d v="2018-08-10T00:00:00" u="1"/>
        <d v="2019-08-10T00:00:00" u="1"/>
        <d v="2015-04-21T00:00:00" u="1"/>
        <d v="2020-08-10T00:00:00" u="1"/>
        <d v="2016-04-21T00:00:00" u="1"/>
        <d v="2018-04-21T00:00:00" u="1"/>
        <d v="2019-04-21T00:00:00" u="1"/>
        <d v="2020-04-21T00:00:00" u="1"/>
        <d v="2021-04-21T00:00:00" u="1"/>
        <d v="2013-09-10T00:00:00" u="1"/>
        <d v="2015-09-10T00:00:00" u="1"/>
        <d v="2016-09-10T00:00:00" u="1"/>
        <d v="2013-05-21T00:00:00" u="1"/>
        <d v="2018-09-10T00:00:00" u="1"/>
        <d v="2019-09-10T00:00:00" u="1"/>
        <d v="2020-09-10T00:00:00" u="1"/>
        <d v="2016-05-21T00:00:00" u="1"/>
        <d v="2018-05-21T00:00:00" u="1"/>
        <d v="2019-05-21T00:00:00" u="1"/>
        <d v="2020-05-21T00:00:00" u="1"/>
        <d v="2013-10-10T00:00:00" u="1"/>
        <d v="2015-10-10T00:00:00" u="1"/>
        <d v="2016-10-10T00:00:00" u="1"/>
        <d v="2013-06-21T00:00:00" u="1"/>
        <d v="2019-10-10T00:00:00" u="1"/>
        <d v="2015-06-21T00:00:00" u="1"/>
        <d v="2020-10-10T00:00:00" u="1"/>
        <d v="2016-06-21T00:00:00" u="1"/>
        <d v="2018-06-21T00:00:00" u="1"/>
        <d v="2019-06-21T00:00:00" u="1"/>
        <d v="2020-06-21T00:00:00" u="1"/>
        <d v="2011-11-10T00:00:00" u="1"/>
        <d v="2013-11-10T00:00:00" u="1"/>
        <d v="2015-11-10T00:00:00" u="1"/>
        <d v="2016-11-10T00:00:00" u="1"/>
        <d v="2013-07-21T00:00:00" u="1"/>
        <d v="2019-11-10T00:00:00" u="1"/>
        <d v="2015-07-21T00:00:00" u="1"/>
        <d v="2020-11-10T00:00:00" u="1"/>
        <d v="2017-07-21T00:00:00" u="1"/>
        <d v="2018-07-21T00:00:00" u="1"/>
        <d v="2019-07-21T00:00:00" u="1"/>
        <d v="2020-07-21T00:00:00" u="1"/>
        <d v="2012-12-10T00:00:00" u="1"/>
        <d v="2013-12-10T00:00:00" u="1"/>
        <d v="2015-12-10T00:00:00" u="1"/>
        <d v="2011-08-21T00:00:00" u="1"/>
        <d v="2016-12-10T00:00:00" u="1"/>
        <d v="2017-12-10T00:00:00" u="1"/>
        <d v="2013-08-21T00:00:00" u="1"/>
        <d v="2019-12-10T00:00:00" u="1"/>
        <d v="2015-08-21T00:00:00" u="1"/>
        <d v="2020-12-10T00:00:00" u="1"/>
        <d v="2016-08-21T00:00:00" u="1"/>
        <d v="2018-08-21T00:00:00" u="1"/>
        <d v="2019-08-21T00:00:00" u="1"/>
        <d v="2020-08-21T00:00:00" u="1"/>
        <d v="2013-09-21T00:00:00" u="1"/>
        <d v="2015-09-21T00:00:00" u="1"/>
        <d v="2016-09-21T00:00:00" u="1"/>
        <d v="2018-09-21T00:00:00" u="1"/>
        <d v="2019-09-21T00:00:00" u="1"/>
        <d v="2020-09-21T00:00:00" u="1"/>
        <d v="2013-10-21T00:00:00" u="1"/>
        <d v="2015-10-21T00:00:00" u="1"/>
        <d v="2016-10-21T00:00:00" u="1"/>
        <d v="2019-10-21T00:00:00" u="1"/>
        <d v="2020-10-21T00:00:00" u="1"/>
        <d v="2011-11-21T00:00:00" u="1"/>
        <d v="2013-11-21T00:00:00" u="1"/>
        <d v="2015-11-21T00:00:00" u="1"/>
        <d v="2016-11-21T00:00:00" u="1"/>
        <d v="2019-11-21T00:00:00" u="1"/>
        <d v="2020-11-21T00:00:00" u="1"/>
        <d v="2011-12-21T00:00:00" u="1"/>
        <d v="2012-12-21T00:00:00" u="1"/>
        <d v="2013-12-21T00:00:00" u="1"/>
        <d v="2015-12-21T00:00:00" u="1"/>
        <d v="2016-12-21T00:00:00" u="1"/>
        <d v="2017-12-21T00:00:00" u="1"/>
        <d v="2019-12-21T00:00:00" u="1"/>
        <d v="2020-12-21T00:00:00" u="1"/>
        <d v="2011-01-11T00:00:00" u="1"/>
        <d v="2012-01-11T00:00:00" u="1"/>
        <d v="2013-01-11T00:00:00" u="1"/>
        <d v="2014-01-11T00:00:00" u="1"/>
        <d v="2016-01-11T00:00:00" u="1"/>
        <d v="2017-01-11T00:00:00" u="1"/>
        <d v="2018-01-11T00:00:00" u="1"/>
        <d v="2020-01-11T00:00:00" u="1"/>
        <d v="2021-01-11T00:00:00" u="1"/>
        <d v="2012-02-11T00:00:00" u="1"/>
        <d v="2013-02-11T00:00:00" u="1"/>
        <d v="2014-02-11T00:00:00" u="1"/>
        <d v="2017-02-11T00:00:00" u="1"/>
        <d v="2018-02-11T00:00:00" u="1"/>
        <d v="2020-02-11T00:00:00" u="1"/>
        <d v="2021-02-11T00:00:00" u="1"/>
        <d v="2014-03-11T00:00:00" u="1"/>
        <d v="2015-03-11T00:00:00" u="1"/>
        <d v="2016-03-11T00:00:00" u="1"/>
        <d v="2018-03-11T00:00:00" u="1"/>
        <d v="2019-03-11T00:00:00" u="1"/>
        <d v="2020-03-11T00:00:00" u="1"/>
        <d v="2021-03-11T00:00:00" u="1"/>
        <d v="2012-04-11T00:00:00" u="1"/>
        <d v="2015-04-11T00:00:00" u="1"/>
        <d v="2016-04-11T00:00:00" u="1"/>
        <d v="2018-04-11T00:00:00" u="1"/>
        <d v="2019-04-11T00:00:00" u="1"/>
        <d v="2020-04-11T00:00:00" u="1"/>
        <d v="2021-04-11T00:00:00" u="1"/>
        <d v="2013-05-11T00:00:00" u="1"/>
        <d v="2011-01-22T00:00:00" u="1"/>
        <d v="2016-05-11T00:00:00" u="1"/>
        <d v="2012-01-22T00:00:00" u="1"/>
        <d v="2013-01-22T00:00:00" u="1"/>
        <d v="2018-05-11T00:00:00" u="1"/>
        <d v="2014-01-22T00:00:00" u="1"/>
        <d v="2019-05-11T00:00:00" u="1"/>
        <d v="2020-05-11T00:00:00" u="1"/>
        <d v="2016-01-22T00:00:00" u="1"/>
        <d v="2017-01-22T00:00:00" u="1"/>
        <d v="2018-01-22T00:00:00" u="1"/>
        <d v="2020-01-22T00:00:00" u="1"/>
        <d v="2021-01-22T00:00:00" u="1"/>
        <d v="2013-06-11T00:00:00" u="1"/>
        <d v="2015-06-11T00:00:00" u="1"/>
        <d v="2016-06-11T00:00:00" u="1"/>
        <d v="2013-02-22T00:00:00" u="1"/>
        <d v="2018-06-11T00:00:00" u="1"/>
        <d v="2014-02-22T00:00:00" u="1"/>
        <d v="2019-06-11T00:00:00" u="1"/>
        <d v="2020-06-11T00:00:00" u="1"/>
        <d v="2017-02-22T00:00:00" u="1"/>
        <d v="2018-02-22T00:00:00" u="1"/>
        <d v="2020-02-22T00:00:00" u="1"/>
        <d v="2021-02-22T00:00:00" u="1"/>
        <d v="2013-07-11T00:00:00" u="1"/>
        <d v="2015-07-11T00:00:00" u="1"/>
        <d v="2017-07-11T00:00:00" u="1"/>
        <d v="2018-07-11T00:00:00" u="1"/>
        <d v="2014-03-22T00:00:00" u="1"/>
        <d v="2019-07-11T00:00:00" u="1"/>
        <d v="2015-03-22T00:00:00" u="1"/>
        <d v="2020-07-11T00:00:00" u="1"/>
        <d v="2016-03-22T00:00:00" u="1"/>
        <d v="2018-03-22T00:00:00" u="1"/>
        <d v="2019-03-22T00:00:00" u="1"/>
        <d v="2020-03-22T00:00:00" u="1"/>
        <d v="2021-03-22T00:00:00" u="1"/>
        <d v="2011-08-11T00:00:00" u="1"/>
        <d v="2013-08-11T00:00:00" u="1"/>
        <d v="2015-08-11T00:00:00" u="1"/>
        <d v="2016-08-11T00:00:00" u="1"/>
        <d v="2012-04-22T00:00:00" u="1"/>
        <d v="2018-08-11T00:00:00" u="1"/>
        <d v="2019-08-11T00:00:00" u="1"/>
        <d v="2015-04-22T00:00:00" u="1"/>
        <d v="2020-08-11T00:00:00" u="1"/>
        <d v="2016-04-22T00:00:00" u="1"/>
        <d v="2018-04-22T00:00:00" u="1"/>
        <d v="2019-04-22T00:00:00" u="1"/>
        <d v="2020-04-22T00:00:00" u="1"/>
        <d v="2021-04-22T00:00:00" u="1"/>
        <d v="2013-09-11T00:00:00" u="1"/>
        <d v="2015-09-11T00:00:00" u="1"/>
        <d v="2016-09-11T00:00:00" u="1"/>
        <d v="2013-05-22T00:00:00" u="1"/>
        <d v="2018-09-11T00:00:00" u="1"/>
        <d v="2019-09-11T00:00:00" u="1"/>
        <d v="2020-09-11T00:00:00" u="1"/>
        <d v="2016-05-22T00:00:00" u="1"/>
        <d v="2018-05-22T00:00:00" u="1"/>
        <d v="2019-05-22T00:00:00" u="1"/>
        <d v="2020-05-22T00:00:00" u="1"/>
        <d v="2013-10-11T00:00:00" u="1"/>
        <d v="2015-10-11T00:00:00" u="1"/>
        <d v="2016-10-11T00:00:00" u="1"/>
        <d v="2013-06-22T00:00:00" u="1"/>
        <d v="2019-10-11T00:00:00" u="1"/>
        <d v="2015-06-22T00:00:00" u="1"/>
        <d v="2020-10-11T00:00:00" u="1"/>
        <d v="2016-06-22T00:00:00" u="1"/>
        <d v="2018-06-22T00:00:00" u="1"/>
        <d v="2019-06-22T00:00:00" u="1"/>
        <d v="2020-06-22T00:00:00" u="1"/>
        <d v="2011-11-11T00:00:00" u="1"/>
        <d v="2013-11-11T00:00:00" u="1"/>
        <d v="2015-11-11T00:00:00" u="1"/>
        <d v="2016-11-11T00:00:00" u="1"/>
        <d v="2013-07-22T00:00:00" u="1"/>
        <d v="2019-11-11T00:00:00" u="1"/>
        <d v="2015-07-22T00:00:00" u="1"/>
        <d v="2020-11-11T00:00:00" u="1"/>
        <d v="2017-07-22T00:00:00" u="1"/>
        <d v="2018-07-22T00:00:00" u="1"/>
        <d v="2019-07-22T00:00:00" u="1"/>
        <d v="2020-07-22T00:00:00" u="1"/>
        <d v="2012-12-11T00:00:00" u="1"/>
        <d v="2013-12-11T00:00:00" u="1"/>
        <d v="2015-12-11T00:00:00" u="1"/>
        <d v="2011-08-22T00:00:00" u="1"/>
        <d v="2016-12-11T00:00:00" u="1"/>
        <d v="2017-12-11T00:00:00" u="1"/>
        <d v="2013-08-22T00:00:00" u="1"/>
        <d v="2019-12-11T00:00:00" u="1"/>
        <d v="2015-08-22T00:00:00" u="1"/>
        <d v="2020-12-11T00:00:00" u="1"/>
        <d v="2016-08-22T00:00:00" u="1"/>
        <d v="2018-08-22T00:00:00" u="1"/>
        <d v="2019-08-22T00:00:00" u="1"/>
        <d v="2020-08-22T00:00:00" u="1"/>
        <d v="2011-01-01T00:00:00" u="1"/>
        <d v="2012-01-01T00:00:00" u="1"/>
        <d v="2014-01-01T00:00:00" u="1"/>
        <d v="2016-01-01T00:00:00" u="1"/>
        <d v="2017-01-01T00:00:00" u="1"/>
        <d v="2018-01-01T00:00:00" u="1"/>
        <d v="2020-01-01T00:00:00" u="1"/>
        <d v="2021-01-01T00:00:00" u="1"/>
        <d v="2013-09-22T00:00:00" u="1"/>
        <d v="2015-09-22T00:00:00" u="1"/>
        <d v="2016-09-22T00:00:00" u="1"/>
        <d v="2018-09-22T00:00:00" u="1"/>
        <d v="2019-09-22T00:00:00" u="1"/>
        <d v="2020-09-22T00:00:00" u="1"/>
        <d v="2011-02-01T00:00:00" u="1"/>
        <d v="2012-02-01T00:00:00" u="1"/>
        <d v="2013-02-01T00:00:00" u="1"/>
        <d v="2014-02-01T00:00:00" u="1"/>
        <d v="2016-02-01T00:00:00" u="1"/>
        <d v="2017-02-01T00:00:00" u="1"/>
        <d v="2018-02-01T00:00:00" u="1"/>
        <d v="2020-02-01T00:00:00" u="1"/>
        <d v="2021-02-01T00:00:00" u="1"/>
        <d v="2013-10-22T00:00:00" u="1"/>
        <d v="2015-10-22T00:00:00" u="1"/>
        <d v="2016-10-22T00:00:00" u="1"/>
        <d v="2019-10-22T00:00:00" u="1"/>
        <d v="2020-10-22T00:00:00" u="1"/>
        <d v="2013-03-01T00:00:00" u="1"/>
        <d v="2014-03-01T00:00:00" u="1"/>
        <d v="2015-03-01T00:00:00" u="1"/>
        <d v="2016-03-01T00:00:00" u="1"/>
        <d v="2018-03-01T00:00:00" u="1"/>
        <d v="2019-03-01T00:00:00" u="1"/>
        <d v="2020-03-01T00:00:00" u="1"/>
        <d v="2011-11-22T00:00:00" u="1"/>
        <d v="2021-03-01T00:00:00" u="1"/>
        <d v="2013-11-22T00:00:00" u="1"/>
        <d v="2015-11-22T00:00:00" u="1"/>
        <d v="2016-11-22T00:00:00" u="1"/>
        <d v="2019-11-22T00:00:00" u="1"/>
        <d v="2020-11-22T00:00:00" u="1"/>
        <d v="2012-04-01T00:00:00" u="1"/>
        <d v="2015-04-01T00:00:00" u="1"/>
        <d v="2016-04-01T00:00:00" u="1"/>
        <d v="2018-04-01T00:00:00" u="1"/>
        <d v="2019-04-01T00:00:00" u="1"/>
        <d v="2020-04-01T00:00:00" u="1"/>
        <d v="2011-12-22T00:00:00" u="1"/>
        <d v="2021-04-01T00:00:00" u="1"/>
        <d v="2012-12-22T00:00:00" u="1"/>
        <d v="2013-12-22T00:00:00" u="1"/>
        <d v="2015-12-22T00:00:00" u="1"/>
        <d v="2016-12-22T00:00:00" u="1"/>
        <d v="2017-12-22T00:00:00" u="1"/>
        <d v="2019-12-22T00:00:00" u="1"/>
        <d v="2020-12-22T00:00:00" u="1"/>
        <d v="2012-05-01T00:00:00" u="1"/>
        <d v="2013-05-01T00:00:00" u="1"/>
        <d v="2011-01-12T00:00:00" u="1"/>
        <d v="2016-05-01T00:00:00" u="1"/>
        <d v="2012-01-12T00:00:00" u="1"/>
        <d v="2013-01-12T00:00:00" u="1"/>
        <d v="2018-05-01T00:00:00" u="1"/>
        <d v="2014-01-12T00:00:00" u="1"/>
        <d v="2019-05-01T00:00:00" u="1"/>
        <d v="2020-05-01T00:00:00" u="1"/>
        <d v="2016-01-12T00:00:00" u="1"/>
        <d v="2021-05-01T00:00:00" u="1"/>
        <d v="2017-01-12T00:00:00" u="1"/>
        <d v="2018-01-12T00:00:00" u="1"/>
        <d v="2020-01-12T00:00:00" u="1"/>
        <d v="2021-01-12T00:00:00" u="1"/>
        <d v="2013-06-01T00:00:00" u="1"/>
        <d v="2015-06-01T00:00:00" u="1"/>
        <d v="2016-06-01T00:00:00" u="1"/>
        <d v="2012-02-12T00:00:00" u="1"/>
        <d v="2013-02-12T00:00:00" u="1"/>
        <d v="2018-06-01T00:00:00" u="1"/>
        <d v="2014-02-12T00:00:00" u="1"/>
        <d v="2019-06-01T00:00:00" u="1"/>
        <d v="2020-06-01T00:00:00" u="1"/>
        <d v="2017-02-12T00:00:00" u="1"/>
        <d v="2018-02-12T00:00:00" u="1"/>
        <d v="2020-02-12T00:00:00" u="1"/>
        <d v="2021-02-12T00:00:00" u="1"/>
        <d v="2013-07-01T00:00:00" u="1"/>
        <d v="2015-07-01T00:00:00" u="1"/>
        <d v="2017-07-01T00:00:00" u="1"/>
        <d v="2018-07-01T00:00:00" u="1"/>
        <d v="2014-03-12T00:00:00" u="1"/>
        <d v="2019-07-01T00:00:00" u="1"/>
        <d v="2015-03-12T00:00:00" u="1"/>
        <d v="2020-07-01T00:00:00" u="1"/>
        <d v="2016-03-12T00:00:00" u="1"/>
        <d v="2018-03-12T00:00:00" u="1"/>
        <d v="2019-03-12T00:00:00" u="1"/>
        <d v="2020-03-12T00:00:00" u="1"/>
        <d v="2021-03-12T00:00:00" u="1"/>
        <d v="2011-08-01T00:00:00" u="1"/>
        <d v="2013-08-01T00:00:00" u="1"/>
        <d v="2015-08-01T00:00:00" u="1"/>
        <d v="2016-08-01T00:00:00" u="1"/>
        <d v="2012-04-12T00:00:00" u="1"/>
        <d v="2017-08-01T00:00:00" u="1"/>
        <d v="2018-08-01T00:00:00" u="1"/>
        <d v="2019-08-01T00:00:00" u="1"/>
        <d v="2015-04-12T00:00:00" u="1"/>
        <d v="2020-08-01T00:00:00" u="1"/>
        <d v="2016-04-12T00:00:00" u="1"/>
        <d v="2018-04-12T00:00:00" u="1"/>
        <d v="2019-04-12T00:00:00" u="1"/>
        <d v="2020-04-12T00:00:00" u="1"/>
        <d v="2021-04-12T00:00:00" u="1"/>
        <d v="2013-09-01T00:00:00" u="1"/>
        <d v="2015-09-01T00:00:00" u="1"/>
        <d v="2016-09-01T00:00:00" u="1"/>
        <d v="2013-05-12T00:00:00" u="1"/>
        <d v="2018-09-01T00:00:00" u="1"/>
        <d v="2019-09-01T00:00:00" u="1"/>
        <d v="2020-09-01T00:00:00" u="1"/>
        <d v="2011-01-23T00:00:00" u="1"/>
        <d v="2016-05-12T00:00:00" u="1"/>
        <d v="2012-01-23T00:00:00" u="1"/>
        <d v="2013-01-23T00:00:00" u="1"/>
        <d v="2018-05-12T00:00:00" u="1"/>
        <d v="2014-01-23T00:00:00" u="1"/>
        <d v="2019-05-12T00:00:00" u="1"/>
        <d v="2020-05-12T00:00:00" u="1"/>
        <d v="2016-01-23T00:00:00" u="1"/>
        <d v="2017-01-23T00:00:00" u="1"/>
        <d v="2018-01-23T00:00:00" u="1"/>
        <d v="2020-01-23T00:00:00" u="1"/>
        <d v="2021-01-23T00:00:00" u="1"/>
        <d v="2013-10-01T00:00:00" u="1"/>
        <d v="2015-10-01T00:00:00" u="1"/>
        <d v="2016-10-01T00:00:00" u="1"/>
        <d v="2013-06-12T00:00:00" u="1"/>
        <d v="2019-10-01T00:00:00" u="1"/>
        <d v="2015-06-12T00:00:00" u="1"/>
        <d v="2020-10-01T00:00:00" u="1"/>
        <d v="2016-06-12T00:00:00" u="1"/>
        <d v="2013-02-23T00:00:00" u="1"/>
        <d v="2018-06-12T00:00:00" u="1"/>
        <d v="2014-02-23T00:00:00" u="1"/>
        <d v="2019-06-12T00:00:00" u="1"/>
        <d v="2020-06-12T00:00:00" u="1"/>
        <d v="2017-02-23T00:00:00" u="1"/>
        <d v="2018-02-23T00:00:00" u="1"/>
        <d v="2020-02-23T00:00:00" u="1"/>
        <d v="2021-02-23T00:00:00" u="1"/>
        <d v="2013-11-01T00:00:00" u="1"/>
        <d v="2015-11-01T00:00:00" u="1"/>
        <d v="2016-11-01T00:00:00" u="1"/>
        <d v="2013-07-12T00:00:00" u="1"/>
        <d v="2019-11-01T00:00:00" u="1"/>
        <d v="2015-07-12T00:00:00" u="1"/>
        <d v="2020-11-01T00:00:00" u="1"/>
        <d v="2017-07-12T00:00:00" u="1"/>
        <d v="2018-07-12T00:00:00" u="1"/>
        <d v="2014-03-23T00:00:00" u="1"/>
        <d v="2019-07-12T00:00:00" u="1"/>
        <d v="2015-03-23T00:00:00" u="1"/>
        <d v="2020-07-12T00:00:00" u="1"/>
        <d v="2016-03-23T00:00:00" u="1"/>
        <d v="2018-03-23T00:00:00" u="1"/>
        <d v="2019-03-23T00:00:00" u="1"/>
        <d v="2020-03-23T00:00:00" u="1"/>
        <d v="2021-03-23T00:00:00" u="1"/>
        <d v="2011-12-01T00:00:00" u="1"/>
        <d v="2012-12-01T00:00:00" u="1"/>
        <d v="2013-12-01T00:00:00" u="1"/>
        <d v="2015-12-01T00:00:00" u="1"/>
        <d v="2011-08-12T00:00:00" u="1"/>
        <d v="2016-12-01T00:00:00" u="1"/>
        <d v="2017-12-01T00:00:00" u="1"/>
        <d v="2013-08-12T00:00:00" u="1"/>
        <d v="2019-12-01T00:00:00" u="1"/>
        <d v="2015-08-12T00:00:00" u="1"/>
        <d v="2020-12-01T00:00:00" u="1"/>
        <d v="2016-08-12T00:00:00" u="1"/>
        <d v="2012-04-23T00:00:00" u="1"/>
        <d v="2018-08-12T00:00:00" u="1"/>
        <d v="2019-08-12T00:00:00" u="1"/>
        <d v="2015-04-23T00:00:00" u="1"/>
        <d v="2020-08-12T00:00:00" u="1"/>
        <d v="2016-04-23T00:00:00" u="1"/>
        <d v="2018-04-23T00:00:00" u="1"/>
        <d v="2019-04-23T00:00:00" u="1"/>
        <d v="2020-04-23T00:00:00" u="1"/>
        <d v="2021-04-23T00:00:00" u="1"/>
        <d v="2013-09-12T00:00:00" u="1"/>
        <d v="2015-09-12T00:00:00" u="1"/>
        <d v="2016-09-12T00:00:00" u="1"/>
        <d v="2013-05-23T00:00:00" u="1"/>
        <d v="2018-09-12T00:00:00" u="1"/>
        <d v="2019-09-12T00:00:00" u="1"/>
        <d v="2020-09-12T00:00:00" u="1"/>
        <d v="2016-05-23T00:00:00" u="1"/>
        <d v="2018-05-23T00:00:00" u="1"/>
        <d v="2019-05-23T00:00:00" u="1"/>
        <d v="2020-05-23T00:00:00" u="1"/>
        <d v="2013-10-12T00:00:00" u="1"/>
        <d v="2015-10-12T00:00:00" u="1"/>
        <d v="2016-10-12T00:00:00" u="1"/>
        <d v="2013-06-23T00:00:00" u="1"/>
        <d v="2019-10-12T00:00:00" u="1"/>
        <d v="2015-06-23T00:00:00" u="1"/>
        <d v="2020-10-12T00:00:00" u="1"/>
        <d v="2016-06-23T00:00:00" u="1"/>
        <d v="2018-06-23T00:00:00" u="1"/>
        <d v="2019-06-23T00:00:00" u="1"/>
        <d v="2020-06-23T00:00:00" u="1"/>
        <d v="2013-11-12T00:00:00" u="1"/>
        <d v="2015-11-12T00:00:00" u="1"/>
        <d v="2016-11-12T00:00:00" u="1"/>
        <d v="2013-07-23T00:00:00" u="1"/>
        <d v="2019-11-12T00:00:00" u="1"/>
        <d v="2015-07-23T00:00:00" u="1"/>
        <d v="2020-11-12T00:00:00" u="1"/>
        <d v="2017-07-23T00:00:00" u="1"/>
        <d v="2018-07-23T00:00:00" u="1"/>
        <d v="2019-07-23T00:00:00" u="1"/>
        <d v="2020-07-23T00:00:00" u="1"/>
        <d v="2011-12-12T00:00:00" u="1"/>
        <d v="2012-12-12T00:00:00" u="1"/>
        <d v="2013-12-12T00:00:00" u="1"/>
        <d v="2015-12-12T00:00:00" u="1"/>
        <d v="2011-08-23T00:00:00" u="1"/>
        <d v="2016-12-12T00:00:00" u="1"/>
        <d v="2017-12-12T00:00:00" u="1"/>
        <d v="2013-08-23T00:00:00" u="1"/>
        <d v="2019-12-12T00:00:00" u="1"/>
        <d v="2015-08-23T00:00:00" u="1"/>
        <d v="2020-12-12T00:00:00" u="1"/>
        <d v="2016-08-23T00:00:00" u="1"/>
        <d v="2018-08-23T00:00:00" u="1"/>
        <d v="2019-08-23T00:00:00" u="1"/>
        <d v="2020-08-23T00:00:00" u="1"/>
        <d v="2011-01-02T00:00:00" u="1"/>
        <d v="2012-01-02T00:00:00" u="1"/>
        <d v="2013-01-02T00:00:00" u="1"/>
        <d v="2014-01-02T00:00:00" u="1"/>
        <d v="2016-01-02T00:00:00" u="1"/>
        <d v="2017-01-02T00:00:00" u="1"/>
        <d v="2018-01-02T00:00:00" u="1"/>
        <d v="2020-01-02T00:00:00" u="1"/>
        <d v="2021-01-02T00:00:00" u="1"/>
        <d v="2013-09-23T00:00:00" u="1"/>
        <d v="2015-09-23T00:00:00" u="1"/>
        <d v="2016-09-23T00:00:00" u="1"/>
        <d v="2018-09-23T00:00:00" u="1"/>
        <d v="2019-09-23T00:00:00" u="1"/>
        <d v="2020-09-23T00:00:00" u="1"/>
        <d v="2012-02-02T00:00:00" u="1"/>
        <d v="2013-02-02T00:00:00" u="1"/>
        <d v="2014-02-02T00:00:00" u="1"/>
        <d v="2017-02-02T00:00:00" u="1"/>
        <d v="2018-02-02T00:00:00" u="1"/>
        <d v="2020-02-02T00:00:00" u="1"/>
        <d v="2021-02-02T00:00:00" u="1"/>
        <d v="2013-10-23T00:00:00" u="1"/>
        <d v="2015-10-23T00:00:00" u="1"/>
        <d v="2016-10-23T00:00:00" u="1"/>
        <d v="2019-10-23T00:00:00" u="1"/>
        <d v="2020-10-23T00:00:00" u="1"/>
        <d v="2013-03-02T00:00:00" u="1"/>
        <d v="2014-03-02T00:00:00" u="1"/>
        <d v="2015-03-02T00:00:00" u="1"/>
        <d v="2016-03-02T00:00:00" u="1"/>
        <d v="2018-03-02T00:00:00" u="1"/>
        <d v="2019-03-02T00:00:00" u="1"/>
        <d v="2020-03-02T00:00:00" u="1"/>
        <d v="2011-11-23T00:00:00" u="1"/>
        <d v="2021-03-02T00:00:00" u="1"/>
        <d v="2013-11-23T00:00:00" u="1"/>
        <d v="2015-11-23T00:00:00" u="1"/>
        <d v="2016-11-23T00:00:00" u="1"/>
        <d v="2019-11-23T00:00:00" u="1"/>
        <d v="2020-11-23T00:00:00" u="1"/>
        <d v="2012-04-02T00:00:00" u="1"/>
        <d v="2015-04-02T00:00:00" u="1"/>
        <d v="2016-04-02T00:00:00" u="1"/>
        <d v="2018-04-02T00:00:00" u="1"/>
        <d v="2019-04-02T00:00:00" u="1"/>
        <d v="2020-04-02T00:00:00" u="1"/>
        <d v="2011-12-23T00:00:00" u="1"/>
        <d v="2021-04-02T00:00:00" u="1"/>
        <d v="2012-12-23T00:00:00" u="1"/>
        <d v="2013-12-23T00:00:00" u="1"/>
        <d v="2015-12-23T00:00:00" u="1"/>
        <d v="2016-12-23T00:00:00" u="1"/>
        <d v="2017-12-23T00:00:00" u="1"/>
        <d v="2019-12-23T00:00:00" u="1"/>
        <d v="2020-12-23T00:00:00" u="1"/>
        <d v="2012-05-02T00:00:00" u="1"/>
        <d v="2013-05-02T00:00:00" u="1"/>
        <d v="2011-01-13T00:00:00" u="1"/>
        <d v="2016-05-02T00:00:00" u="1"/>
        <d v="2012-01-13T00:00:00" u="1"/>
        <d v="2013-01-13T00:00:00" u="1"/>
        <d v="2018-05-02T00:00:00" u="1"/>
        <d v="2014-01-13T00:00:00" u="1"/>
        <d v="2019-05-02T00:00:00" u="1"/>
        <d v="2020-05-02T00:00:00" u="1"/>
        <d v="2016-01-13T00:00:00" u="1"/>
        <d v="2017-01-13T00:00:00" u="1"/>
        <d v="2018-01-13T00:00:00" u="1"/>
        <d v="2020-01-13T00:00:00" u="1"/>
        <d v="2021-01-13T00:00:00" u="1"/>
        <d v="2013-06-02T00:00:00" u="1"/>
        <d v="2015-06-02T00:00:00" u="1"/>
        <d v="2016-06-02T00:00:00" u="1"/>
        <d v="2012-02-13T00:00:00" u="1"/>
        <d v="2013-02-13T00:00:00" u="1"/>
        <d v="2018-06-02T00:00:00" u="1"/>
        <d v="2014-02-13T00:00:00" u="1"/>
        <d v="2019-06-02T00:00:00" u="1"/>
        <d v="2020-06-02T00:00:00" u="1"/>
        <d v="2017-02-13T00:00:00" u="1"/>
        <d v="2018-02-13T00:00:00" u="1"/>
        <d v="2020-02-13T00:00:00" u="1"/>
        <d v="2021-02-13T00:00:00" u="1"/>
        <d v="2013-07-02T00:00:00" u="1"/>
        <d v="2015-07-02T00:00:00" u="1"/>
        <d v="2017-07-02T00:00:00" u="1"/>
        <d v="2018-07-02T00:00:00" u="1"/>
        <d v="2014-03-13T00:00:00" u="1"/>
        <d v="2019-07-02T00:00:00" u="1"/>
        <d v="2015-03-13T00:00:00" u="1"/>
        <d v="2020-07-02T00:00:00" u="1"/>
        <d v="2016-03-13T00:00:00" u="1"/>
        <d v="2018-03-13T00:00:00" u="1"/>
        <d v="2019-03-13T00:00:00" u="1"/>
        <d v="2020-03-13T00:00:00" u="1"/>
        <d v="2021-03-13T00:00:00" u="1"/>
        <d v="2011-08-02T00:00:00" u="1"/>
        <d v="2013-08-02T00:00:00" u="1"/>
        <d v="2015-08-02T00:00:00" u="1"/>
        <d v="2016-08-02T00:00:00" u="1"/>
        <d v="2012-04-13T00:00:00" u="1"/>
        <d v="2018-08-02T00:00:00" u="1"/>
        <d v="2019-08-02T00:00:00" u="1"/>
        <d v="2015-04-13T00:00:00" u="1"/>
        <d v="2020-08-02T00:00:00" u="1"/>
        <d v="2016-04-13T00:00:00" u="1"/>
        <d v="2018-04-13T00:00:00" u="1"/>
        <d v="2019-04-13T00:00:00" u="1"/>
        <d v="2020-04-13T00:00:00" u="1"/>
        <d v="2021-04-13T00:00:00" u="1"/>
        <d v="2013-09-02T00:00:00" u="1"/>
        <d v="2015-09-02T00:00:00" u="1"/>
        <d v="2016-09-02T00:00:00" u="1"/>
        <d v="2013-05-13T00:00:00" u="1"/>
        <d v="2018-09-02T00:00:00" u="1"/>
        <d v="2019-09-02T00:00:00" u="1"/>
        <d v="2020-09-02T00:00:00" u="1"/>
        <d v="2011-01-24T00:00:00" u="1"/>
        <d v="2016-05-13T00:00:00" u="1"/>
        <d v="2012-01-24T00:00:00" u="1"/>
        <d v="2013-01-24T00:00:00" u="1"/>
        <d v="2018-05-13T00:00:00" u="1"/>
        <d v="2014-01-24T00:00:00" u="1"/>
        <d v="2019-05-13T00:00:00" u="1"/>
        <d v="2020-05-13T00:00:00" u="1"/>
        <d v="2016-01-24T00:00:00" u="1"/>
        <d v="2017-01-24T00:00:00" u="1"/>
        <d v="2018-01-24T00:00:00" u="1"/>
        <d v="2020-01-24T00:00:00" u="1"/>
        <d v="2021-01-24T00:00:00" u="1"/>
        <d v="2013-10-02T00:00:00" u="1"/>
        <d v="2015-10-02T00:00:00" u="1"/>
        <d v="2016-10-02T00:00:00" u="1"/>
        <d v="2013-06-13T00:00:00" u="1"/>
        <d v="2019-10-02T00:00:00" u="1"/>
        <d v="2015-06-13T00:00:00" u="1"/>
        <d v="2020-10-02T00:00:00" u="1"/>
        <d v="2016-06-13T00:00:00" u="1"/>
        <d v="2013-02-24T00:00:00" u="1"/>
        <d v="2018-06-13T00:00:00" u="1"/>
        <d v="2014-02-24T00:00:00" u="1"/>
        <d v="2019-06-13T00:00:00" u="1"/>
        <d v="2020-06-13T00:00:00" u="1"/>
        <d v="2017-02-24T00:00:00" u="1"/>
        <d v="2018-02-24T00:00:00" u="1"/>
        <d v="2020-02-24T00:00:00" u="1"/>
        <d v="2021-02-24T00:00:00" u="1"/>
        <d v="2011-11-02T00:00:00" u="1"/>
        <d v="2013-11-02T00:00:00" u="1"/>
        <d v="2015-11-02T00:00:00" u="1"/>
        <d v="2016-11-02T00:00:00" u="1"/>
        <d v="2013-07-13T00:00:00" u="1"/>
        <d v="2019-11-02T00:00:00" u="1"/>
        <d v="2015-07-13T00:00:00" u="1"/>
        <d v="2020-11-02T00:00:00" u="1"/>
        <d v="2017-07-13T00:00:00" u="1"/>
        <d v="2018-07-13T00:00:00" u="1"/>
        <d v="2014-03-24T00:00:00" u="1"/>
        <d v="2019-07-13T00:00:00" u="1"/>
        <d v="2015-03-24T00:00:00" u="1"/>
        <d v="2020-07-13T00:00:00" u="1"/>
        <d v="2016-03-24T00:00:00" u="1"/>
        <d v="2018-03-24T00:00:00" u="1"/>
        <d v="2019-03-24T00:00:00" u="1"/>
        <d v="2020-03-24T00:00:00" u="1"/>
        <d v="2021-03-24T00:00:00" u="1"/>
        <d v="2011-12-02T00:00:00" u="1"/>
        <d v="2012-12-02T00:00:00" u="1"/>
        <d v="2013-12-02T00:00:00" u="1"/>
        <d v="2015-12-02T00:00:00" u="1"/>
        <d v="2011-08-13T00:00:00" u="1"/>
        <d v="2016-12-02T00:00:00" u="1"/>
        <d v="2017-12-02T00:00:00" u="1"/>
        <d v="2013-08-13T00:00:00" u="1"/>
        <d v="2019-12-02T00:00:00" u="1"/>
        <d v="2015-08-13T00:00:00" u="1"/>
        <d v="2020-12-02T00:00:00" u="1"/>
        <d v="2016-08-13T00:00:00" u="1"/>
        <d v="2012-04-24T00:00:00" u="1"/>
        <d v="2018-08-13T00:00:00" u="1"/>
        <d v="2019-08-13T00:00:00" u="1"/>
        <d v="2015-04-24T00:00:00" u="1"/>
        <d v="2020-08-13T00:00:00" u="1"/>
        <d v="2016-04-24T00:00:00" u="1"/>
        <d v="2018-04-24T00:00:00" u="1"/>
        <d v="2019-04-24T00:00:00" u="1"/>
        <d v="2020-04-24T00:00:00" u="1"/>
        <d v="2021-04-24T00:00:00" u="1"/>
        <d v="2013-09-13T00:00:00" u="1"/>
        <d v="2015-09-13T00:00:00" u="1"/>
        <d v="2016-09-13T00:00:00" u="1"/>
        <d v="2013-05-24T00:00:00" u="1"/>
        <d v="2018-09-13T00:00:00" u="1"/>
        <d v="2019-09-13T00:00:00" u="1"/>
        <d v="2020-09-13T00:00:00" u="1"/>
        <d v="2016-05-24T00:00:00" u="1"/>
        <d v="2018-05-24T00:00:00" u="1"/>
        <d v="2019-05-24T00:00:00" u="1"/>
        <d v="2020-05-24T00:00:00" u="1"/>
        <d v="2013-10-13T00:00:00" u="1"/>
        <d v="2015-10-13T00:00:00" u="1"/>
        <d v="2016-10-13T00:00:00" u="1"/>
        <d v="2013-06-24T00:00:00" u="1"/>
        <d v="2019-10-13T00:00:00" u="1"/>
        <d v="2015-06-24T00:00:00" u="1"/>
        <d v="2020-10-13T00:00:00" u="1"/>
        <d v="2016-06-24T00:00:00" u="1"/>
        <d v="2018-06-24T00:00:00" u="1"/>
        <d v="2019-06-24T00:00:00" u="1"/>
        <d v="2020-06-24T00:00:00" u="1"/>
        <d v="2013-11-13T00:00:00" u="1"/>
        <d v="2015-11-13T00:00:00" u="1"/>
        <d v="2016-11-13T00:00:00" u="1"/>
        <d v="2013-07-24T00:00:00" u="1"/>
        <d v="2019-11-13T00:00:00" u="1"/>
        <d v="2015-07-24T00:00:00" u="1"/>
        <d v="2020-11-13T00:00:00" u="1"/>
        <d v="2017-07-24T00:00:00" u="1"/>
        <d v="2018-07-24T00:00:00" u="1"/>
        <d v="2019-07-24T00:00:00" u="1"/>
        <d v="2020-07-24T00:00:00" u="1"/>
        <d v="2011-12-13T00:00:00" u="1"/>
        <d v="2012-12-13T00:00:00" u="1"/>
        <d v="2013-12-13T00:00:00" u="1"/>
        <d v="2015-12-13T00:00:00" u="1"/>
        <d v="2011-08-24T00:00:00" u="1"/>
        <d v="2016-12-13T00:00:00" u="1"/>
        <d v="2017-12-13T00:00:00" u="1"/>
        <d v="2013-08-24T00:00:00" u="1"/>
        <d v="2019-12-13T00:00:00" u="1"/>
        <d v="2015-08-24T00:00:00" u="1"/>
        <d v="2020-12-13T00:00:00" u="1"/>
        <d v="2016-08-24T00:00:00" u="1"/>
        <d v="2018-08-24T00:00:00" u="1"/>
        <d v="2019-08-24T00:00:00" u="1"/>
        <d v="2020-08-24T00:00:00" u="1"/>
        <d v="2011-01-03T00:00:00" u="1"/>
        <d v="2012-01-03T00:00:00" u="1"/>
        <d v="2013-01-03T00:00:00" u="1"/>
        <d v="2014-01-03T00:00:00" u="1"/>
        <d v="2016-01-03T00:00:00" u="1"/>
        <d v="2017-01-03T00:00:00" u="1"/>
        <d v="2018-01-03T00:00:00" u="1"/>
        <d v="2020-01-03T00:00:00" u="1"/>
        <d v="2021-01-03T00:00:00" u="1"/>
        <d v="2013-09-24T00:00:00" u="1"/>
        <d v="2015-09-24T00:00:00" u="1"/>
        <d v="2016-09-24T00:00:00" u="1"/>
        <d v="2018-09-24T00:00:00" u="1"/>
        <d v="2019-09-24T00:00:00" u="1"/>
        <d v="2020-09-24T00:00:00" u="1"/>
        <d v="2012-02-03T00:00:00" u="1"/>
        <d v="2013-02-03T00:00:00" u="1"/>
        <d v="2014-02-03T00:00:00" u="1"/>
        <d v="2017-02-03T00:00:00" u="1"/>
        <d v="2018-02-03T00:00:00" u="1"/>
        <d v="2020-02-03T00:00:00" u="1"/>
        <d v="2021-02-03T00:00:00" u="1"/>
        <d v="2013-10-24T00:00:00" u="1"/>
        <d v="2015-10-24T00:00:00" u="1"/>
        <d v="2016-10-24T00:00:00" u="1"/>
        <d v="2019-10-24T00:00:00" u="1"/>
        <d v="2020-10-24T00:00:00" u="1"/>
        <d v="2013-03-03T00:00:00" u="1"/>
        <d v="2014-03-03T00:00:00" u="1"/>
        <d v="2015-03-03T00:00:00" u="1"/>
        <d v="2016-03-03T00:00:00" u="1"/>
        <d v="2018-03-03T00:00:00" u="1"/>
        <d v="2019-03-03T00:00:00" u="1"/>
        <d v="2020-03-03T00:00:00" u="1"/>
        <d v="2011-11-24T00:00:00" u="1"/>
        <d v="2021-03-03T00:00:00" u="1"/>
        <d v="2013-11-24T00:00:00" u="1"/>
        <d v="2015-11-24T00:00:00" u="1"/>
        <d v="2016-11-24T00:00:00" u="1"/>
        <d v="2019-11-24T00:00:00" u="1"/>
        <d v="2020-11-24T00:00:00" u="1"/>
        <d v="2012-04-03T00:00:00" u="1"/>
        <d v="2015-04-03T00:00:00" u="1"/>
        <d v="2016-04-03T00:00:00" u="1"/>
        <d v="2018-04-03T00:00:00" u="1"/>
        <d v="2019-04-03T00:00:00" u="1"/>
        <d v="2020-04-03T00:00:00" u="1"/>
        <d v="2011-12-24T00:00:00" u="1"/>
        <d v="2021-04-03T00:00:00" u="1"/>
        <d v="2012-12-24T00:00:00" u="1"/>
        <d v="2013-12-24T00:00:00" u="1"/>
        <d v="2015-12-24T00:00:00" u="1"/>
        <d v="2016-12-24T00:00:00" u="1"/>
        <d v="2017-12-24T00:00:00" u="1"/>
        <d v="2019-12-24T00:00:00" u="1"/>
        <d v="2020-12-24T00:00:00" u="1"/>
        <d v="2013-05-03T00:00:00" u="1"/>
        <d v="2011-01-14T00:00:00" u="1"/>
        <d v="2016-05-03T00:00:00" u="1"/>
        <d v="2012-01-14T00:00:00" u="1"/>
        <d v="2013-01-14T00:00:00" u="1"/>
        <d v="2018-05-03T00:00:00" u="1"/>
        <d v="2014-01-14T00:00:00" u="1"/>
        <d v="2019-05-03T00:00:00" u="1"/>
        <d v="2020-05-03T00:00:00" u="1"/>
        <d v="2016-01-14T00:00:00" u="1"/>
        <d v="2017-01-14T00:00:00" u="1"/>
        <d v="2018-01-14T00:00:00" u="1"/>
        <d v="2020-01-14T00:00:00" u="1"/>
        <d v="2021-01-14T00:00:00" u="1"/>
        <d v="2013-06-03T00:00:00" u="1"/>
        <d v="2015-06-03T00:00:00" u="1"/>
        <d v="2016-06-03T00:00:00" u="1"/>
        <d v="2012-02-14T00:00:00" u="1"/>
        <d v="2013-02-14T00:00:00" u="1"/>
        <d v="2018-06-03T00:00:00" u="1"/>
        <d v="2014-02-14T00:00:00" u="1"/>
        <d v="2019-06-03T00:00:00" u="1"/>
        <d v="2020-06-03T00:00:00" u="1"/>
        <d v="2017-02-14T00:00:00" u="1"/>
        <d v="2018-02-14T00:00:00" u="1"/>
        <d v="2020-02-14T00:00:00" u="1"/>
        <d v="2021-02-14T00:00:00" u="1"/>
        <d v="2013-07-03T00:00:00" u="1"/>
        <d v="2015-07-03T00:00:00" u="1"/>
        <d v="2017-07-03T00:00:00" u="1"/>
        <d v="2018-07-03T00:00:00" u="1"/>
        <d v="2014-03-14T00:00:00" u="1"/>
        <d v="2019-07-03T00:00:00" u="1"/>
        <d v="2015-03-14T00:00:00" u="1"/>
        <d v="2020-07-03T00:00:00" u="1"/>
        <d v="2016-03-14T00:00:00" u="1"/>
        <d v="2018-03-14T00:00:00" u="1"/>
        <d v="2019-03-14T00:00:00" u="1"/>
        <d v="2020-03-14T00:00:00" u="1"/>
        <d v="2021-03-14T00:00:00" u="1"/>
        <d v="2011-08-03T00:00:00" u="1"/>
        <d v="2013-08-03T00:00:00" u="1"/>
        <d v="2015-08-03T00:00:00" u="1"/>
        <d v="2016-08-03T00:00:00" u="1"/>
        <d v="2012-04-14T00:00:00" u="1"/>
        <d v="2018-08-03T00:00:00" u="1"/>
        <d v="2019-08-03T00:00:00" u="1"/>
        <d v="2015-04-14T00:00:00" u="1"/>
        <d v="2020-08-03T00:00:00" u="1"/>
        <d v="2016-04-14T00:00:00" u="1"/>
        <d v="2018-04-14T00:00:00" u="1"/>
        <d v="2019-04-14T00:00:00" u="1"/>
        <d v="2020-04-14T00:00:00" u="1"/>
        <d v="2021-04-14T00:00:00" u="1"/>
        <d v="2013-09-03T00:00:00" u="1"/>
        <d v="2015-09-03T00:00:00" u="1"/>
        <d v="2016-09-03T00:00:00" u="1"/>
        <d v="2013-05-14T00:00:00" u="1"/>
        <d v="2018-09-03T00:00:00" u="1"/>
        <d v="2019-09-03T00:00:00" u="1"/>
        <d v="2020-09-03T00:00:00" u="1"/>
        <d v="2011-01-25T00:00:00" u="1"/>
        <d v="2016-05-14T00:00:00" u="1"/>
        <d v="2012-01-25T00:00:00" u="1"/>
        <d v="2013-01-25T00:00:00" u="1"/>
        <d v="2018-05-14T00:00:00" u="1"/>
        <d v="2014-01-25T00:00:00" u="1"/>
        <d v="2019-05-14T00:00:00" u="1"/>
        <d v="2020-05-14T00:00:00" u="1"/>
        <d v="2016-01-25T00:00:00" u="1"/>
        <d v="2017-01-25T00:00:00" u="1"/>
        <d v="2018-01-25T00:00:00" u="1"/>
        <d v="2020-01-25T00:00:00" u="1"/>
        <d v="2021-01-25T00:00:00" u="1"/>
        <d v="2013-10-03T00:00:00" u="1"/>
        <d v="2015-10-03T00:00:00" u="1"/>
        <d v="2016-10-03T00:00:00" u="1"/>
        <d v="2013-06-14T00:00:00" u="1"/>
        <d v="2019-10-03T00:00:00" u="1"/>
        <d v="2015-06-14T00:00:00" u="1"/>
        <d v="2020-10-03T00:00:00" u="1"/>
        <d v="2016-06-14T00:00:00" u="1"/>
        <d v="2013-02-25T00:00:00" u="1"/>
        <d v="2018-06-14T00:00:00" u="1"/>
        <d v="2014-02-25T00:00:00" u="1"/>
        <d v="2019-06-14T00:00:00" u="1"/>
        <d v="2020-06-14T00:00:00" u="1"/>
        <d v="2017-02-25T00:00:00" u="1"/>
        <d v="2018-02-25T00:00:00" u="1"/>
        <d v="2020-02-25T00:00:00" u="1"/>
        <d v="2021-02-25T00:00:00" u="1"/>
        <d v="2011-11-03T00:00:00" u="1"/>
        <d v="2013-11-03T00:00:00" u="1"/>
        <d v="2015-11-03T00:00:00" u="1"/>
        <d v="2016-11-03T00:00:00" u="1"/>
        <d v="2013-07-14T00:00:00" u="1"/>
        <d v="2019-11-03T00:00:00" u="1"/>
        <d v="2015-07-14T00:00:00" u="1"/>
        <d v="2020-11-03T00:00:00" u="1"/>
        <d v="2017-07-14T00:00:00" u="1"/>
        <d v="2018-07-14T00:00:00" u="1"/>
        <d v="2014-03-25T00:00:00" u="1"/>
        <d v="2019-07-14T00:00:00" u="1"/>
        <d v="2015-03-25T00:00:00" u="1"/>
        <d v="2020-07-14T00:00:00" u="1"/>
        <d v="2016-03-25T00:00:00" u="1"/>
        <d v="2018-03-25T00:00:00" u="1"/>
        <d v="2019-03-25T00:00:00" u="1"/>
        <d v="2020-03-25T00:00:00" u="1"/>
        <d v="2021-03-25T00:00:00" u="1"/>
        <d v="2012-12-03T00:00:00" u="1"/>
        <d v="2013-12-03T00:00:00" u="1"/>
        <d v="2015-12-03T00:00:00" u="1"/>
        <d v="2011-08-14T00:00:00" u="1"/>
        <d v="2016-12-03T00:00:00" u="1"/>
        <d v="2017-12-03T00:00:00" u="1"/>
        <d v="2013-08-14T00:00:00" u="1"/>
        <d v="2019-12-03T00:00:00" u="1"/>
        <d v="2015-08-14T00:00:00" u="1"/>
        <d v="2020-12-03T00:00:00" u="1"/>
        <d v="2016-08-14T00:00:00" u="1"/>
        <d v="2012-04-25T00:00:00" u="1"/>
        <d v="2018-08-14T00:00:00" u="1"/>
        <d v="2019-08-14T00:00:00" u="1"/>
        <d v="2015-04-25T00:00:00" u="1"/>
        <d v="2020-08-14T00:00:00" u="1"/>
        <d v="2016-04-25T00:00:00" u="1"/>
        <d v="2018-04-25T00:00:00" u="1"/>
        <d v="2019-04-25T00:00:00" u="1"/>
        <d v="2020-04-25T00:00:00" u="1"/>
        <d v="2021-04-25T00:00:00" u="1"/>
        <d v="2013-09-14T00:00:00" u="1"/>
        <d v="2015-09-14T00:00:00" u="1"/>
        <d v="2016-09-14T00:00:00" u="1"/>
        <d v="2013-05-25T00:00:00" u="1"/>
        <d v="2018-09-14T00:00:00" u="1"/>
        <d v="2019-09-14T00:00:00" u="1"/>
        <d v="2020-09-14T00:00:00" u="1"/>
        <d v="2016-05-25T00:00:00" u="1"/>
        <d v="2018-05-25T00:00:00" u="1"/>
        <d v="2019-05-25T00:00:00" u="1"/>
        <d v="2020-05-25T00:00:00" u="1"/>
        <d v="2013-10-14T00:00:00" u="1"/>
        <d v="2015-10-14T00:00:00" u="1"/>
        <d v="2016-10-14T00:00:00" u="1"/>
        <d v="2013-06-25T00:00:00" u="1"/>
        <d v="2019-10-14T00:00:00" u="1"/>
        <d v="2015-06-25T00:00:00" u="1"/>
        <d v="2020-10-14T00:00:00" u="1"/>
        <d v="2016-06-25T00:00:00" u="1"/>
        <d v="2018-06-25T00:00:00" u="1"/>
        <d v="2019-06-25T00:00:00" u="1"/>
        <d v="2020-06-25T00:00:00" u="1"/>
        <d v="2011-11-14T00:00:00" u="1"/>
        <d v="2013-11-14T00:00:00" u="1"/>
        <d v="2015-11-14T00:00:00" u="1"/>
        <d v="2016-11-14T00:00:00" u="1"/>
        <d v="2013-07-25T00:00:00" u="1"/>
        <d v="2019-11-14T00:00:00" u="1"/>
        <d v="2015-07-25T00:00:00" u="1"/>
        <d v="2020-11-14T00:00:00" u="1"/>
        <d v="2017-07-25T00:00:00" u="1"/>
        <d v="2018-07-25T00:00:00" u="1"/>
        <d v="2019-07-25T00:00:00" u="1"/>
        <d v="2020-07-25T00:00:00" u="1"/>
        <d v="2011-12-14T00:00:00" u="1"/>
        <d v="2012-12-14T00:00:00" u="1"/>
        <d v="2013-12-14T00:00:00" u="1"/>
        <d v="2015-12-14T00:00:00" u="1"/>
        <d v="2011-08-25T00:00:00" u="1"/>
        <d v="2016-12-14T00:00:00" u="1"/>
        <d v="2017-12-14T00:00:00" u="1"/>
        <d v="2013-08-25T00:00:00" u="1"/>
        <d v="2019-12-14T00:00:00" u="1"/>
        <d v="2015-08-25T00:00:00" u="1"/>
        <d v="2020-12-14T00:00:00" u="1"/>
        <d v="2016-08-25T00:00:00" u="1"/>
        <d v="2018-08-25T00:00:00" u="1"/>
        <d v="2019-08-25T00:00:00" u="1"/>
        <d v="2020-08-25T00:00:00" u="1"/>
        <d v="2011-01-04T00:00:00" u="1"/>
        <d v="2012-01-04T00:00:00" u="1"/>
        <d v="2013-01-04T00:00:00" u="1"/>
        <d v="2014-01-04T00:00:00" u="1"/>
        <d v="2016-01-04T00:00:00" u="1"/>
        <d v="2017-01-04T00:00:00" u="1"/>
        <d v="2018-01-04T00:00:00" u="1"/>
        <d v="2020-01-04T00:00:00" u="1"/>
        <d v="2021-01-04T00:00:00" u="1"/>
        <d v="2013-09-25T00:00:00" u="1"/>
        <d v="2015-09-25T00:00:00" u="1"/>
        <d v="2016-09-25T00:00:00" u="1"/>
        <d v="2018-09-25T00:00:00" u="1"/>
        <d v="2019-09-25T00:00:00" u="1"/>
        <d v="2020-09-25T00:00:00" u="1"/>
        <d v="2012-02-04T00:00:00" u="1"/>
        <d v="2013-02-04T00:00:00" u="1"/>
        <d v="2014-02-04T00:00:00" u="1"/>
        <d v="2017-02-04T00:00:00" u="1"/>
        <d v="2018-02-04T00:00:00" u="1"/>
        <d v="2020-02-04T00:00:00" u="1"/>
        <d v="2021-02-04T00:00:00" u="1"/>
        <d v="2013-10-25T00:00:00" u="1"/>
        <d v="2015-10-25T00:00:00" u="1"/>
        <d v="2016-10-25T00:00:00" u="1"/>
        <d v="2019-10-25T00:00:00" u="1"/>
        <d v="2020-10-25T00:00:00" u="1"/>
        <d v="2014-03-04T00:00:00" u="1"/>
        <d v="2015-03-04T00:00:00" u="1"/>
        <d v="2016-03-04T00:00:00" u="1"/>
        <d v="2018-03-04T00:00:00" u="1"/>
        <d v="2019-03-04T00:00:00" u="1"/>
        <d v="2020-03-04T00:00:00" u="1"/>
        <d v="2011-11-25T00:00:00" u="1"/>
        <d v="2021-03-04T00:00:00" u="1"/>
        <d v="2013-11-25T00:00:00" u="1"/>
        <d v="2015-11-25T00:00:00" u="1"/>
        <d v="2016-11-25T00:00:00" u="1"/>
        <d v="2019-11-25T00:00:00" u="1"/>
        <d v="2020-11-25T00:00:00" u="1"/>
        <d v="2012-04-04T00:00:00" u="1"/>
        <d v="2015-04-04T00:00:00" u="1"/>
        <d v="2016-04-04T00:00:00" u="1"/>
        <d v="2018-04-04T00:00:00" u="1"/>
        <d v="2019-04-04T00:00:00" u="1"/>
        <d v="2020-04-04T00:00:00" u="1"/>
        <d v="2011-12-25T00:00:00" u="1"/>
        <d v="2021-04-04T00:00:00" u="1"/>
        <d v="2012-12-25T00:00:00" u="1"/>
        <d v="2015-12-25T00:00:00" u="1"/>
        <d v="2016-12-25T00:00:00" u="1"/>
        <d v="2017-12-25T00:00:00" u="1"/>
        <d v="2019-12-25T00:00:00" u="1"/>
        <d v="2020-12-25T00:00:00" u="1"/>
        <d v="2013-05-04T00:00:00" u="1"/>
        <d v="2011-01-15T00:00:00" u="1"/>
        <d v="2016-05-04T00:00:00" u="1"/>
        <d v="2012-01-15T00:00:00" u="1"/>
        <d v="2013-01-15T00:00:00" u="1"/>
        <d v="2018-05-04T00:00:00" u="1"/>
        <d v="2014-01-15T00:00:00" u="1"/>
        <d v="2019-05-04T00:00:00" u="1"/>
        <d v="2020-05-04T00:00:00" u="1"/>
        <d v="2016-01-15T00:00:00" u="1"/>
        <d v="2017-01-15T00:00:00" u="1"/>
        <d v="2018-01-15T00:00:00" u="1"/>
        <d v="2020-01-15T00:00:00" u="1"/>
        <d v="2021-01-15T00:00:00" u="1"/>
        <d v="2013-06-04T00:00:00" u="1"/>
        <d v="2015-06-04T00:00:00" u="1"/>
        <d v="2016-06-04T00:00:00" u="1"/>
        <d v="2012-02-15T00:00:00" u="1"/>
        <d v="2013-02-15T00:00:00" u="1"/>
        <d v="2018-06-04T00:00:00" u="1"/>
        <d v="2014-02-15T00:00:00" u="1"/>
        <d v="2019-06-04T00:00:00" u="1"/>
        <d v="2020-06-04T00:00:00" u="1"/>
        <d v="2017-02-15T00:00:00" u="1"/>
        <d v="2018-02-15T00:00:00" u="1"/>
        <d v="2020-02-15T00:00:00" u="1"/>
        <d v="2021-02-15T00:00:00" u="1"/>
        <d v="2013-07-04T00:00:00" u="1"/>
        <d v="2015-07-04T00:00:00" u="1"/>
        <d v="2017-07-04T00:00:00" u="1"/>
        <d v="2018-07-04T00:00:00" u="1"/>
        <d v="2014-03-15T00:00:00" u="1"/>
        <d v="2019-07-04T00:00:00" u="1"/>
        <d v="2015-03-15T00:00:00" u="1"/>
        <d v="2020-07-04T00:00:00" u="1"/>
        <d v="2016-03-15T00:00:00" u="1"/>
        <d v="2018-03-15T00:00:00" u="1"/>
        <d v="2019-03-15T00:00:00" u="1"/>
        <d v="2020-03-15T00:00:00" u="1"/>
        <d v="2021-03-15T00:00:00" u="1"/>
        <d v="2011-08-04T00:00:00" u="1"/>
        <d v="2013-08-04T00:00:00" u="1"/>
        <d v="2015-08-04T00:00:00" u="1"/>
        <d v="2016-08-04T00:00:00" u="1"/>
        <d v="2012-04-15T00:00:00" u="1"/>
        <d v="2018-08-04T00:00:00" u="1"/>
        <d v="2019-08-04T00:00:00" u="1"/>
        <d v="2015-04-15T00:00:00" u="1"/>
        <d v="2020-08-04T00:00:00" u="1"/>
        <d v="2016-04-15T00:00:00" u="1"/>
        <d v="2018-04-15T00:00:00" u="1"/>
        <d v="2019-04-15T00:00:00" u="1"/>
        <d v="2020-04-15T00:00:00" u="1"/>
        <d v="2021-04-15T00:00:00" u="1"/>
        <d v="2013-09-04T00:00:00" u="1"/>
        <d v="2015-09-04T00:00:00" u="1"/>
        <d v="2016-09-04T00:00:00" u="1"/>
        <d v="2013-05-15T00:00:00" u="1"/>
        <d v="2018-09-04T00:00:00" u="1"/>
        <d v="2019-09-04T00:00:00" u="1"/>
        <d v="2020-09-04T00:00:00" u="1"/>
        <d v="2011-01-26T00:00:00" u="1"/>
        <d v="2016-05-15T00:00:00" u="1"/>
        <d v="2012-01-26T00:00:00" u="1"/>
        <d v="2013-01-26T00:00:00" u="1"/>
        <d v="2018-05-15T00:00:00" u="1"/>
        <d v="2014-01-26T00:00:00" u="1"/>
        <d v="2019-05-15T00:00:00" u="1"/>
        <d v="2020-05-15T00:00:00" u="1"/>
        <d v="2016-01-26T00:00:00" u="1"/>
        <d v="2017-01-26T00:00:00" u="1"/>
        <d v="2018-01-26T00:00:00" u="1"/>
        <d v="2020-01-26T00:00:00" u="1"/>
        <d v="2021-01-26T00:00:00" u="1"/>
        <d v="2013-10-04T00:00:00" u="1"/>
        <d v="2015-10-04T00:00:00" u="1"/>
        <d v="2016-10-04T00:00:00" u="1"/>
        <d v="2013-06-15T00:00:00" u="1"/>
        <d v="2019-10-04T00:00:00" u="1"/>
        <d v="2015-06-15T00:00:00" u="1"/>
        <d v="2020-10-04T00:00:00" u="1"/>
        <d v="2016-06-15T00:00:00" u="1"/>
        <d v="2013-02-26T00:00:00" u="1"/>
        <d v="2018-06-15T00:00:00" u="1"/>
        <d v="2014-02-26T00:00:00" u="1"/>
        <d v="2019-06-15T00:00:00" u="1"/>
        <d v="2020-06-15T00:00:00" u="1"/>
        <d v="2017-02-26T00:00:00" u="1"/>
        <d v="2018-02-26T00:00:00" u="1"/>
        <d v="2020-02-26T00:00:00" u="1"/>
        <d v="2021-02-26T00:00:00" u="1"/>
        <d v="2011-11-04T00:00:00" u="1"/>
        <d v="2013-11-04T00:00:00" u="1"/>
        <d v="2015-11-04T00:00:00" u="1"/>
        <d v="2016-11-04T00:00:00" u="1"/>
        <d v="2013-07-15T00:00:00" u="1"/>
        <d v="2019-11-04T00:00:00" u="1"/>
        <d v="2015-07-15T00:00:00" u="1"/>
        <d v="2020-11-04T00:00:00" u="1"/>
        <d v="2017-07-15T00:00:00" u="1"/>
        <d v="2018-07-15T00:00:00" u="1"/>
        <d v="2014-03-26T00:00:00" u="1"/>
        <d v="2019-07-15T00:00:00" u="1"/>
        <d v="2015-03-26T00:00:00" u="1"/>
        <d v="2020-07-15T00:00:00" u="1"/>
        <d v="2016-03-26T00:00:00" u="1"/>
        <d v="2018-03-26T00:00:00" u="1"/>
        <d v="2019-03-26T00:00:00" u="1"/>
        <d v="2020-03-26T00:00:00" u="1"/>
        <d v="2021-03-26T00:00:00" u="1"/>
        <d v="2012-12-04T00:00:00" u="1"/>
        <d v="2013-12-04T00:00:00" u="1"/>
        <d v="2015-12-04T00:00:00" u="1"/>
        <d v="2011-08-15T00:00:00" u="1"/>
        <d v="2016-12-04T00:00:00" u="1"/>
        <d v="2017-12-04T00:00:00" u="1"/>
        <d v="2013-08-15T00:00:00" u="1"/>
        <d v="2019-12-04T00:00:00" u="1"/>
        <d v="2015-08-15T00:00:00" u="1"/>
        <d v="2020-12-04T00:00:00" u="1"/>
        <d v="2016-08-15T00:00:00" u="1"/>
        <d v="2012-04-26T00:00:00" u="1"/>
        <d v="2018-08-15T00:00:00" u="1"/>
        <d v="2019-08-15T00:00:00" u="1"/>
        <d v="2015-04-26T00:00:00" u="1"/>
        <d v="2020-08-15T00:00:00" u="1"/>
        <d v="2016-04-26T00:00:00" u="1"/>
        <d v="2018-04-26T00:00:00" u="1"/>
        <d v="2019-04-26T00:00:00" u="1"/>
        <d v="2020-04-26T00:00:00" u="1"/>
        <d v="2021-04-26T00:00:00" u="1"/>
        <d v="2013-09-15T00:00:00" u="1"/>
        <d v="2015-09-15T00:00:00" u="1"/>
        <d v="2016-09-15T00:00:00" u="1"/>
        <d v="2013-05-26T00:00:00" u="1"/>
        <d v="2018-09-15T00:00:00" u="1"/>
        <d v="2019-09-15T00:00:00" u="1"/>
        <d v="2020-09-15T00:00:00" u="1"/>
        <d v="2016-05-26T00:00:00" u="1"/>
        <d v="2018-05-26T00:00:00" u="1"/>
        <d v="2019-05-26T00:00:00" u="1"/>
        <d v="2020-05-26T00:00:00" u="1"/>
        <d v="2013-10-15T00:00:00" u="1"/>
        <d v="2015-10-15T00:00:00" u="1"/>
        <d v="2016-10-15T00:00:00" u="1"/>
        <d v="2013-06-26T00:00:00" u="1"/>
        <d v="2019-10-15T00:00:00" u="1"/>
        <d v="2015-06-26T00:00:00" u="1"/>
        <d v="2020-10-15T00:00:00" u="1"/>
        <d v="2016-06-26T00:00:00" u="1"/>
        <d v="2018-06-26T00:00:00" u="1"/>
        <d v="2019-06-26T00:00:00" u="1"/>
        <d v="2020-06-26T00:00:00" u="1"/>
        <d v="2011-11-15T00:00:00" u="1"/>
        <d v="2013-11-15T00:00:00" u="1"/>
        <d v="2015-11-15T00:00:00" u="1"/>
        <d v="2016-11-15T00:00:00" u="1"/>
        <d v="2013-07-26T00:00:00" u="1"/>
        <d v="2019-11-15T00:00:00" u="1"/>
        <d v="2015-07-26T00:00:00" u="1"/>
        <d v="2020-11-15T00:00:00" u="1"/>
        <d v="2017-07-26T00:00:00" u="1"/>
        <d v="2018-07-26T00:00:00" u="1"/>
        <d v="2019-07-26T00:00:00" u="1"/>
        <d v="2020-07-26T00:00:00" u="1"/>
        <d v="2011-12-15T00:00:00" u="1"/>
        <d v="2012-12-15T00:00:00" u="1"/>
        <d v="2015-12-15T00:00:00" u="1"/>
        <d v="2011-08-26T00:00:00" u="1"/>
        <d v="2016-12-15T00:00:00" u="1"/>
        <d v="2017-12-15T00:00:00" u="1"/>
        <d v="2013-08-26T00:00:00" u="1"/>
        <d v="2019-12-15T00:00:00" u="1"/>
        <d v="2015-08-26T00:00:00" u="1"/>
        <d v="2020-12-15T00:00:00" u="1"/>
        <d v="2016-08-26T00:00:00" u="1"/>
        <d v="2018-08-26T00:00:00" u="1"/>
        <d v="2019-08-26T00:00:00" u="1"/>
        <d v="2020-08-26T00:00:00" u="1"/>
        <d v="2011-01-05T00:00:00" u="1"/>
        <d v="2012-01-05T00:00:00" u="1"/>
        <d v="2013-01-05T00:00:00" u="1"/>
        <d v="2014-01-05T00:00:00" u="1"/>
        <d v="2016-01-05T00:00:00" u="1"/>
        <d v="2017-01-05T00:00:00" u="1"/>
        <d v="2018-01-05T00:00:00" u="1"/>
        <d v="2020-01-05T00:00:00" u="1"/>
        <d v="2021-01-05T00:00:00" u="1"/>
        <d v="2013-09-26T00:00:00" u="1"/>
        <d v="2015-09-26T00:00:00" u="1"/>
        <d v="2016-09-26T00:00:00" u="1"/>
        <d v="2018-09-26T00:00:00" u="1"/>
        <d v="2019-09-26T00:00:00" u="1"/>
        <d v="2020-09-26T00:00:00" u="1"/>
        <d v="2012-02-05T00:00:00" u="1"/>
        <d v="2013-02-05T00:00:00" u="1"/>
        <d v="2014-02-05T00:00:00" u="1"/>
        <d v="2017-02-05T00:00:00" u="1"/>
        <d v="2018-02-05T00:00:00" u="1"/>
        <d v="2020-02-05T00:00:00" u="1"/>
        <d v="2021-02-05T00:00:00" u="1"/>
        <d v="2013-10-26T00:00:00" u="1"/>
        <d v="2015-10-26T00:00:00" u="1"/>
        <d v="2016-10-26T00:00:00" u="1"/>
        <d v="2019-10-26T00:00:00" u="1"/>
        <d v="2020-10-26T00:00:00" u="1"/>
        <d v="2014-03-05T00:00:00" u="1"/>
        <d v="2015-03-05T00:00:00" u="1"/>
        <d v="2016-03-05T00:00:00" u="1"/>
        <d v="2018-03-05T00:00:00" u="1"/>
        <d v="2019-03-05T00:00:00" u="1"/>
        <d v="2020-03-05T00:00:00" u="1"/>
        <d v="2021-03-05T00:00:00" u="1"/>
        <d v="2013-11-26T00:00:00" u="1"/>
        <d v="2015-11-26T00:00:00" u="1"/>
        <d v="2016-11-26T00:00:00" u="1"/>
        <d v="2019-11-26T00:00:00" u="1"/>
        <d v="2020-11-26T00:00:00" u="1"/>
        <d v="2012-04-05T00:00:00" u="1"/>
        <d v="2015-04-05T00:00:00" u="1"/>
        <d v="2016-04-05T00:00:00" u="1"/>
        <d v="2018-04-05T00:00:00" u="1"/>
        <d v="2019-04-05T00:00:00" u="1"/>
        <d v="2020-04-05T00:00:00" u="1"/>
        <d v="2011-12-26T00:00:00" u="1"/>
        <d v="2021-04-05T00:00:00" u="1"/>
        <d v="2012-12-26T00:00:00" u="1"/>
        <d v="2013-12-26T00:00:00" u="1"/>
        <d v="2015-12-26T00:00:00" u="1"/>
        <d v="2016-12-26T00:00:00" u="1"/>
        <d v="2017-12-26T00:00:00" u="1"/>
        <d v="2019-12-26T00:00:00" u="1"/>
        <d v="2020-12-26T00:00:00" u="1"/>
        <d v="2013-05-05T00:00:00" u="1"/>
        <d v="2011-01-16T00:00:00" u="1"/>
        <d v="2016-05-05T00:00:00" u="1"/>
        <d v="2012-01-16T00:00:00" u="1"/>
        <d v="2013-01-16T00:00:00" u="1"/>
        <d v="2018-05-05T00:00:00" u="1"/>
        <d v="2014-01-16T00:00:00" u="1"/>
        <d v="2019-05-05T00:00:00" u="1"/>
        <d v="2020-05-05T00:00:00" u="1"/>
        <d v="2016-01-16T00:00:00" u="1"/>
        <d v="2017-01-16T00:00:00" u="1"/>
        <d v="2018-01-16T00:00:00" u="1"/>
        <d v="2020-01-16T00:00:00" u="1"/>
        <d v="2021-01-16T00:00:00" u="1"/>
        <d v="2013-06-05T00:00:00" u="1"/>
        <d v="2015-06-05T00:00:00" u="1"/>
        <d v="2016-06-05T00:00:00" u="1"/>
        <d v="2012-02-16T00:00:00" u="1"/>
        <d v="2013-02-16T00:00:00" u="1"/>
        <d v="2018-06-05T00:00:00" u="1"/>
        <d v="2014-02-16T00:00:00" u="1"/>
        <d v="2019-06-05T00:00:00" u="1"/>
        <d v="2020-06-05T00:00:00" u="1"/>
        <d v="2017-02-16T00:00:00" u="1"/>
        <d v="2018-02-16T00:00:00" u="1"/>
        <d v="2020-02-16T00:00:00" u="1"/>
        <d v="2021-02-16T00:00:00" u="1"/>
        <d v="2013-07-05T00:00:00" u="1"/>
        <d v="2015-07-05T00:00:00" u="1"/>
        <d v="2017-07-05T00:00:00" u="1"/>
        <d v="2018-07-05T00:00:00" u="1"/>
        <d v="2014-03-16T00:00:00" u="1"/>
        <d v="2019-07-05T00:00:00" u="1"/>
        <d v="2015-03-16T00:00:00" u="1"/>
        <d v="2020-07-05T00:00:00" u="1"/>
        <d v="2016-03-16T00:00:00" u="1"/>
        <d v="2018-03-16T00:00:00" u="1"/>
        <d v="2019-03-16T00:00:00" u="1"/>
        <d v="2020-03-16T00:00:00" u="1"/>
        <d v="2021-03-16T00:00:00" u="1"/>
        <d v="2011-08-05T00:00:00" u="1"/>
        <d v="2013-08-05T00:00:00" u="1"/>
        <d v="2015-08-05T00:00:00" u="1"/>
        <d v="2016-08-05T00:00:00" u="1"/>
        <d v="2012-04-16T00:00:00" u="1"/>
        <d v="2018-08-05T00:00:00" u="1"/>
        <d v="2019-08-05T00:00:00" u="1"/>
        <d v="2015-04-16T00:00:00" u="1"/>
        <d v="2020-08-05T00:00:00" u="1"/>
        <d v="2016-04-16T00:00:00" u="1"/>
        <d v="2018-04-16T00:00:00" u="1"/>
        <d v="2019-04-16T00:00:00" u="1"/>
        <d v="2020-04-16T00:00:00" u="1"/>
        <d v="2021-04-16T00:00:00" u="1"/>
        <d v="2013-09-05T00:00:00" u="1"/>
        <d v="2015-09-05T00:00:00" u="1"/>
        <d v="2016-09-05T00:00:00" u="1"/>
        <d v="2013-05-16T00:00:00" u="1"/>
        <d v="2018-09-05T00:00:00" u="1"/>
        <d v="2019-09-05T00:00:00" u="1"/>
        <d v="2020-09-05T00:00:00" u="1"/>
        <d v="2011-01-27T00:00:00" u="1"/>
        <d v="2016-05-16T00:00:00" u="1"/>
        <d v="2012-01-27T00:00:00" u="1"/>
        <d v="2013-01-27T00:00:00" u="1"/>
        <d v="2018-05-16T00:00:00" u="1"/>
        <d v="2014-01-27T00:00:00" u="1"/>
        <d v="2019-05-16T00:00:00" u="1"/>
        <d v="2020-05-16T00:00:00" u="1"/>
        <d v="2016-01-27T00:00:00" u="1"/>
        <d v="2017-01-27T00:00:00" u="1"/>
        <d v="2018-01-27T00:00:00" u="1"/>
        <d v="2020-01-27T00:00:00" u="1"/>
        <d v="2021-01-27T00:00:00" u="1"/>
        <d v="2013-10-05T00:00:00" u="1"/>
        <d v="2015-10-05T00:00:00" u="1"/>
        <d v="2016-10-05T00:00:00" u="1"/>
        <d v="2013-06-16T00:00:00" u="1"/>
        <d v="2019-10-05T00:00:00" u="1"/>
        <d v="2015-06-16T00:00:00" u="1"/>
        <d v="2020-10-05T00:00:00" u="1"/>
        <d v="2016-06-16T00:00:00" u="1"/>
        <d v="2013-02-27T00:00:00" u="1"/>
        <d v="2018-06-16T00:00:00" u="1"/>
        <d v="2014-02-27T00:00:00" u="1"/>
        <d v="2019-06-16T00:00:00" u="1"/>
        <d v="2020-06-16T00:00:00" u="1"/>
        <d v="2017-02-27T00:00:00" u="1"/>
        <d v="2018-02-27T00:00:00" u="1"/>
        <d v="2020-02-27T00:00:00" u="1"/>
        <d v="2021-02-27T00:00:00" u="1"/>
        <d v="2013-11-05T00:00:00" u="1"/>
        <d v="2015-11-05T00:00:00" u="1"/>
        <d v="2016-11-05T00:00:00" u="1"/>
        <d v="2013-07-16T00:00:00" u="1"/>
        <d v="2019-11-05T00:00:00" u="1"/>
        <d v="2015-07-16T00:00:00" u="1"/>
        <d v="2020-11-05T00:00:00" u="1"/>
        <d v="2017-07-16T00:00:00" u="1"/>
        <d v="2018-07-16T00:00:00" u="1"/>
        <d v="2014-03-27T00:00:00" u="1"/>
        <d v="2019-07-16T00:00:00" u="1"/>
        <d v="2015-03-27T00:00:00" u="1"/>
        <d v="2020-07-16T00:00:00" u="1"/>
        <d v="2016-03-27T00:00:00" u="1"/>
        <d v="2018-03-27T00:00:00" u="1"/>
        <d v="2019-03-27T00:00:00" u="1"/>
        <d v="2020-03-27T00:00:00" u="1"/>
        <d v="2021-03-27T00:00:00" u="1"/>
        <d v="2011-12-05T00:00:00" u="1"/>
        <d v="2012-12-05T00:00:00" u="1"/>
        <d v="2013-12-05T00:00:00" u="1"/>
        <d v="2015-12-05T00:00:00" u="1"/>
        <d v="2011-08-16T00:00:00" u="1"/>
        <d v="2016-12-05T00:00:00" u="1"/>
        <d v="2017-12-05T00:00:00" u="1"/>
        <d v="2013-08-16T00:00:00" u="1"/>
        <d v="2019-12-05T00:00:00" u="1"/>
        <d v="2015-08-16T00:00:00" u="1"/>
        <d v="2020-12-05T00:00:00" u="1"/>
        <d v="2016-08-16T00:00:00" u="1"/>
        <d v="2012-04-27T00:00:00" u="1"/>
        <d v="2018-08-16T00:00:00" u="1"/>
        <d v="2019-08-16T00:00:00" u="1"/>
        <d v="2015-04-27T00:00:00" u="1"/>
        <d v="2020-08-16T00:00:00" u="1"/>
        <d v="2016-04-27T00:00:00" u="1"/>
        <d v="2018-04-27T00:00:00" u="1"/>
        <d v="2019-04-27T00:00:00" u="1"/>
        <d v="2020-04-27T00:00:00" u="1"/>
        <d v="2021-04-27T00:00:00" u="1"/>
        <d v="2013-09-16T00:00:00" u="1"/>
        <d v="2015-09-16T00:00:00" u="1"/>
        <d v="2016-09-16T00:00:00" u="1"/>
        <d v="2013-05-27T00:00:00" u="1"/>
        <d v="2018-09-16T00:00:00" u="1"/>
        <d v="2019-09-16T00:00:00" u="1"/>
        <d v="2020-09-16T00:00:00" u="1"/>
        <d v="2016-05-27T00:00:00" u="1"/>
        <d v="2018-05-27T00:00:00" u="1"/>
        <d v="2019-05-27T00:00:00" u="1"/>
        <d v="2020-05-27T00:00:00" u="1"/>
        <d v="2013-10-16T00:00:00" u="1"/>
        <d v="2015-10-16T00:00:00" u="1"/>
        <d v="2016-10-16T00:00:00" u="1"/>
        <d v="2013-06-27T00:00:00" u="1"/>
        <d v="2019-10-16T00:00:00" u="1"/>
        <d v="2015-06-27T00:00:00" u="1"/>
        <d v="2020-10-16T00:00:00" u="1"/>
        <d v="2016-06-27T00:00:00" u="1"/>
        <d v="2018-06-27T00:00:00" u="1"/>
        <d v="2019-06-27T00:00:00" u="1"/>
        <d v="2020-06-27T00:00:00" u="1"/>
        <d v="2011-11-16T00:00:00" u="1"/>
        <d v="2013-11-16T00:00:00" u="1"/>
        <d v="2015-11-16T00:00:00" u="1"/>
        <d v="2016-11-16T00:00:00" u="1"/>
        <d v="2013-07-27T00:00:00" u="1"/>
        <d v="2019-11-16T00:00:00" u="1"/>
        <d v="2015-07-27T00:00:00" u="1"/>
        <d v="2020-11-16T00:00:00" u="1"/>
        <d v="2017-07-27T00:00:00" u="1"/>
        <d v="2018-07-27T00:00:00" u="1"/>
        <d v="2019-07-27T00:00:00" u="1"/>
        <d v="2020-07-27T00:00:00" u="1"/>
        <d v="2011-12-16T00:00:00" u="1"/>
        <d v="2012-12-16T00:00:00" u="1"/>
        <d v="2013-12-16T00:00:00" u="1"/>
        <d v="2015-12-16T00:00:00" u="1"/>
        <d v="2011-08-27T00:00:00" u="1"/>
        <d v="2016-12-16T00:00:00" u="1"/>
        <d v="2017-12-16T00:00:00" u="1"/>
        <d v="2013-08-27T00:00:00" u="1"/>
        <d v="2019-12-16T00:00:00" u="1"/>
        <d v="2015-08-27T00:00:00" u="1"/>
        <d v="2020-12-16T00:00:00" u="1"/>
        <d v="2016-08-27T00:00:00" u="1"/>
        <d v="2018-08-27T00:00:00" u="1"/>
        <d v="2019-08-27T00:00:00" u="1"/>
        <d v="2020-08-27T00:00:00" u="1"/>
        <d v="2011-01-06T00:00:00" u="1"/>
        <d v="2012-01-06T00:00:00" u="1"/>
        <d v="2013-01-06T00:00:00" u="1"/>
        <d v="2014-01-06T00:00:00" u="1"/>
        <d v="2016-01-06T00:00:00" u="1"/>
        <d v="2017-01-06T00:00:00" u="1"/>
        <d v="2018-01-06T00:00:00" u="1"/>
        <d v="2020-01-06T00:00:00" u="1"/>
        <d v="2021-01-06T00:00:00" u="1"/>
        <d v="2013-09-27T00:00:00" u="1"/>
        <d v="2015-09-27T00:00:00" u="1"/>
        <d v="2016-09-27T00:00:00" u="1"/>
        <d v="2018-09-27T00:00:00" u="1"/>
        <d v="2019-09-27T00:00:00" u="1"/>
        <d v="2020-09-27T00:00:00" u="1"/>
        <d v="2012-02-06T00:00:00" u="1"/>
        <d v="2013-02-06T00:00:00" u="1"/>
        <d v="2014-02-06T00:00:00" u="1"/>
        <d v="2017-02-06T00:00:00" u="1"/>
        <d v="2018-02-06T00:00:00" u="1"/>
        <d v="2020-02-06T00:00:00" u="1"/>
        <d v="2021-02-06T00:00:00" u="1"/>
        <d v="2013-10-27T00:00:00" u="1"/>
        <d v="2015-10-27T00:00:00" u="1"/>
        <d v="2016-10-27T00:00:00" u="1"/>
        <d v="2019-10-27T00:00:00" u="1"/>
        <d v="2020-10-27T00:00:00" u="1"/>
        <d v="2014-03-06T00:00:00" u="1"/>
        <d v="2015-03-06T00:00:00" u="1"/>
        <d v="2016-03-06T00:00:00" u="1"/>
        <d v="2018-03-06T00:00:00" u="1"/>
        <d v="2019-03-06T00:00:00" u="1"/>
        <d v="2020-03-06T00:00:00" u="1"/>
        <d v="2021-03-06T00:00:00" u="1"/>
        <d v="2013-11-27T00:00:00" u="1"/>
        <d v="2015-11-27T00:00:00" u="1"/>
        <d v="2016-11-27T00:00:00" u="1"/>
        <d v="2019-11-27T00:00:00" u="1"/>
        <d v="2020-11-27T00:00:00" u="1"/>
        <d v="2012-04-06T00:00:00" u="1"/>
        <d v="2015-04-06T00:00:00" u="1"/>
        <d v="2016-04-06T00:00:00" u="1"/>
        <d v="2018-04-06T00:00:00" u="1"/>
        <d v="2019-04-06T00:00:00" u="1"/>
        <d v="2020-04-06T00:00:00" u="1"/>
        <d v="2011-12-27T00:00:00" u="1"/>
        <d v="2021-04-06T00:00:00" u="1"/>
        <d v="2012-12-27T00:00:00" u="1"/>
        <d v="2013-12-27T00:00:00" u="1"/>
        <d v="2015-12-27T00:00:00" u="1"/>
        <d v="2016-12-27T00:00:00" u="1"/>
        <d v="2017-12-27T00:00:00" u="1"/>
        <d v="2019-12-27T00:00:00" u="1"/>
        <d v="2020-12-27T00:00:00" u="1"/>
        <d v="2013-05-06T00:00:00" u="1"/>
        <d v="2011-01-17T00:00:00" u="1"/>
        <d v="2016-05-06T00:00:00" u="1"/>
        <d v="2012-01-17T00:00:00" u="1"/>
        <d v="2013-01-17T00:00:00" u="1"/>
        <d v="2018-05-06T00:00:00" u="1"/>
        <d v="2014-01-17T00:00:00" u="1"/>
        <d v="2019-05-06T00:00:00" u="1"/>
        <d v="2020-05-06T00:00:00" u="1"/>
        <d v="2016-01-17T00:00:00" u="1"/>
        <d v="2017-01-17T00:00:00" u="1"/>
        <d v="2018-01-17T00:00:00" u="1"/>
        <d v="2020-01-17T00:00:00" u="1"/>
        <d v="2021-01-17T00:00:00" u="1"/>
        <d v="2013-06-06T00:00:00" u="1"/>
        <d v="2015-06-06T00:00:00" u="1"/>
        <d v="2016-06-06T00:00:00" u="1"/>
        <d v="2012-02-17T00:00:00" u="1"/>
        <d v="2013-02-17T00:00:00" u="1"/>
        <d v="2018-06-06T00:00:00" u="1"/>
        <d v="2014-02-17T00:00:00" u="1"/>
        <d v="2019-06-06T00:00:00" u="1"/>
        <d v="2020-06-06T00:00:00" u="1"/>
        <d v="2017-02-17T00:00:00" u="1"/>
        <d v="2018-02-17T00:00:00" u="1"/>
        <d v="2020-02-17T00:00:00" u="1"/>
        <d v="2021-02-17T00:00:00" u="1"/>
        <d v="2013-07-06T00:00:00" u="1"/>
        <d v="2015-07-06T00:00:00" u="1"/>
        <d v="2017-07-06T00:00:00" u="1"/>
        <d v="2018-07-06T00:00:00" u="1"/>
        <d v="2014-03-17T00:00:00" u="1"/>
        <d v="2019-07-06T00:00:00" u="1"/>
        <d v="2015-03-17T00:00:00" u="1"/>
        <d v="2020-07-06T00:00:00" u="1"/>
        <d v="2016-03-17T00:00:00" u="1"/>
        <d v="2018-03-17T00:00:00" u="1"/>
        <d v="2019-03-17T00:00:00" u="1"/>
        <d v="2020-03-17T00:00:00" u="1"/>
        <d v="2021-03-17T00:00:00" u="1"/>
        <d v="2011-08-06T00:00:00" u="1"/>
        <d v="2013-08-06T00:00:00" u="1"/>
        <d v="2015-08-06T00:00:00" u="1"/>
        <d v="2016-08-06T00:00:00" u="1"/>
        <d v="2012-04-17T00:00:00" u="1"/>
        <d v="2018-08-06T00:00:00" u="1"/>
        <d v="2019-08-06T00:00:00" u="1"/>
        <d v="2015-04-17T00:00:00" u="1"/>
        <d v="2020-08-06T00:00:00" u="1"/>
        <d v="2016-04-17T00:00:00" u="1"/>
        <d v="2018-04-17T00:00:00" u="1"/>
        <d v="2019-04-17T00:00:00" u="1"/>
        <d v="2020-04-17T00:00:00" u="1"/>
        <d v="2021-04-17T00:00:00" u="1"/>
        <d v="2013-09-06T00:00:00" u="1"/>
        <d v="2015-09-06T00:00:00" u="1"/>
        <d v="2016-09-06T00:00:00" u="1"/>
        <d v="2013-05-17T00:00:00" u="1"/>
        <d v="2018-09-06T00:00:00" u="1"/>
        <d v="2019-09-06T00:00:00" u="1"/>
        <d v="2020-09-06T00:00:00" u="1"/>
        <d v="2011-01-28T00:00:00" u="1"/>
        <d v="2016-05-17T00:00:00" u="1"/>
        <d v="2012-01-28T00:00:00" u="1"/>
        <d v="2013-01-28T00:00:00" u="1"/>
        <d v="2018-05-17T00:00:00" u="1"/>
        <d v="2014-01-28T00:00:00" u="1"/>
        <d v="2019-05-17T00:00:00" u="1"/>
        <d v="2020-05-17T00:00:00" u="1"/>
        <d v="2016-01-28T00:00:00" u="1"/>
        <d v="2017-01-28T00:00:00" u="1"/>
        <d v="2018-01-28T00:00:00" u="1"/>
        <d v="2020-01-28T00:00:00" u="1"/>
        <d v="2021-01-28T00:00:00" u="1"/>
        <d v="2013-10-06T00:00:00" u="1"/>
        <d v="2015-10-06T00:00:00" u="1"/>
        <d v="2016-10-06T00:00:00" u="1"/>
        <d v="2013-06-17T00:00:00" u="1"/>
        <d v="2019-10-06T00:00:00" u="1"/>
        <d v="2015-06-17T00:00:00" u="1"/>
        <d v="2020-10-06T00:00:00" u="1"/>
        <d v="2016-06-17T00:00:00" u="1"/>
        <d v="2013-02-28T00:00:00" u="1"/>
        <d v="2018-06-17T00:00:00" u="1"/>
        <d v="2014-02-28T00:00:00" u="1"/>
        <d v="2019-06-17T00:00:00" u="1"/>
        <d v="2020-06-17T00:00:00" u="1"/>
        <d v="2017-02-28T00:00:00" u="1"/>
        <d v="2018-02-28T00:00:00" u="1"/>
        <d v="2020-02-28T00:00:00" u="1"/>
        <d v="2021-02-28T00:00:00" u="1"/>
        <d v="2013-11-06T00:00:00" u="1"/>
        <d v="2015-11-06T00:00:00" u="1"/>
        <d v="2016-11-06T00:00:00" u="1"/>
        <d v="2013-07-17T00:00:00" u="1"/>
        <d v="2019-11-06T00:00:00" u="1"/>
        <d v="2015-07-17T00:00:00" u="1"/>
        <d v="2020-11-06T00:00:00" u="1"/>
        <d v="2017-07-17T00:00:00" u="1"/>
        <d v="2018-07-17T00:00:00" u="1"/>
        <d v="2014-03-28T00:00:00" u="1"/>
        <d v="2019-07-17T00:00:00" u="1"/>
        <d v="2015-03-28T00:00:00" u="1"/>
        <d v="2020-07-17T00:00:00" u="1"/>
        <d v="2016-03-28T00:00:00" u="1"/>
        <d v="2018-03-28T00:00:00" u="1"/>
        <d v="2019-03-28T00:00:00" u="1"/>
        <d v="2020-03-28T00:00:00" u="1"/>
        <d v="2021-03-28T00:00:00" u="1"/>
        <d v="2011-12-06T00:00:00" u="1"/>
        <d v="2012-12-06T00:00:00" u="1"/>
        <d v="2013-12-06T00:00:00" u="1"/>
        <d v="2015-12-06T00:00:00" u="1"/>
        <d v="2011-08-17T00:00:00" u="1"/>
        <d v="2016-12-06T00:00:00" u="1"/>
        <d v="2017-12-06T00:00:00" u="1"/>
        <d v="2013-08-17T00:00:00" u="1"/>
        <d v="2019-12-06T00:00:00" u="1"/>
        <d v="2015-08-17T00:00:00" u="1"/>
        <d v="2020-12-06T00:00:00" u="1"/>
        <d v="2016-08-17T00:00:00" u="1"/>
        <d v="2012-04-28T00:00:00" u="1"/>
        <d v="2018-08-17T00:00:00" u="1"/>
        <d v="2019-08-17T00:00:00" u="1"/>
        <d v="2015-04-28T00:00:00" u="1"/>
        <d v="2020-08-17T00:00:00" u="1"/>
        <d v="2016-04-28T00:00:00" u="1"/>
        <d v="2018-04-28T00:00:00" u="1"/>
        <d v="2019-04-28T00:00:00" u="1"/>
        <d v="2020-04-28T00:00:00" u="1"/>
        <d v="2021-04-28T00:00:00" u="1"/>
        <d v="2013-09-17T00:00:00" u="1"/>
        <d v="2015-09-17T00:00:00" u="1"/>
        <d v="2016-09-17T00:00:00" u="1"/>
        <d v="2013-05-28T00:00:00" u="1"/>
        <d v="2018-09-17T00:00:00" u="1"/>
        <d v="2019-09-17T00:00:00" u="1"/>
        <d v="2020-09-17T00:00:00" u="1"/>
        <d v="2016-05-28T00:00:00" u="1"/>
        <d v="2018-05-28T00:00:00" u="1"/>
        <d v="2019-05-28T00:00:00" u="1"/>
        <d v="2020-05-28T00:00:00" u="1"/>
        <d v="2013-10-17T00:00:00" u="1"/>
        <d v="2015-10-17T00:00:00" u="1"/>
        <d v="2016-10-17T00:00:00" u="1"/>
        <d v="2013-06-28T00:00:00" u="1"/>
        <d v="2019-10-17T00:00:00" u="1"/>
        <d v="2015-06-28T00:00:00" u="1"/>
        <d v="2020-10-17T00:00:00" u="1"/>
        <d v="2016-06-28T00:00:00" u="1"/>
        <d v="2018-06-28T00:00:00" u="1"/>
        <d v="2019-06-28T00:00:00" u="1"/>
        <d v="2020-06-28T00:00:00" u="1"/>
        <d v="2011-11-17T00:00:00" u="1"/>
        <d v="2013-11-17T00:00:00" u="1"/>
        <d v="2015-11-17T00:00:00" u="1"/>
        <d v="2016-11-17T00:00:00" u="1"/>
        <d v="2013-07-28T00:00:00" u="1"/>
        <d v="2019-11-17T00:00:00" u="1"/>
        <d v="2015-07-28T00:00:00" u="1"/>
        <d v="2020-11-17T00:00:00" u="1"/>
        <d v="2017-07-28T00:00:00" u="1"/>
        <d v="2018-07-28T00:00:00" u="1"/>
        <d v="2019-07-28T00:00:00" u="1"/>
        <d v="2020-07-28T00:00:00" u="1"/>
        <d v="2012-12-17T00:00:00" u="1"/>
        <d v="2013-12-17T00:00:00" u="1"/>
        <d v="2015-12-17T00:00:00" u="1"/>
        <d v="2011-08-28T00:00:00" u="1"/>
        <d v="2016-12-17T00:00:00" u="1"/>
        <d v="2017-12-17T00:00:00" u="1"/>
        <d v="2013-08-28T00:00:00" u="1"/>
        <d v="2019-12-17T00:00:00" u="1"/>
        <d v="2015-08-28T00:00:00" u="1"/>
        <d v="2020-12-17T00:00:00" u="1"/>
        <d v="2016-08-28T00:00:00" u="1"/>
        <d v="2018-08-28T00:00:00" u="1"/>
        <d v="2019-08-28T00:00:00" u="1"/>
        <d v="2020-08-28T00:00:00" u="1"/>
        <d v="2011-01-07T00:00:00" u="1"/>
        <d v="2012-01-07T00:00:00" u="1"/>
        <d v="2013-01-07T00:00:00" u="1"/>
        <d v="2014-01-07T00:00:00" u="1"/>
        <d v="2016-01-07T00:00:00" u="1"/>
        <d v="2017-01-07T00:00:00" u="1"/>
        <d v="2018-01-07T00:00:00" u="1"/>
        <d v="2020-01-07T00:00:00" u="1"/>
        <d v="2021-01-07T00:00:00" u="1"/>
        <d v="2013-09-28T00:00:00" u="1"/>
        <d v="2015-09-28T00:00:00" u="1"/>
        <d v="2016-09-28T00:00:00" u="1"/>
        <d v="2018-09-28T00:00:00" u="1"/>
        <d v="2019-09-28T00:00:00" u="1"/>
        <d v="2020-09-28T00:00:00" u="1"/>
        <d v="2012-02-07T00:00:00" u="1"/>
        <d v="2013-02-07T00:00:00" u="1"/>
        <d v="2014-02-07T00:00:00" u="1"/>
        <d v="2017-02-07T00:00:00" u="1"/>
        <d v="2018-02-07T00:00:00" u="1"/>
        <d v="2020-02-07T00:00:00" u="1"/>
        <d v="2021-02-07T00:00:00" u="1"/>
        <d v="2013-10-28T00:00:00" u="1"/>
        <d v="2015-10-28T00:00:00" u="1"/>
        <d v="2016-10-28T00:00:00" u="1"/>
        <d v="2019-10-28T00:00:00" u="1"/>
        <d v="2020-10-28T00:00:00" u="1"/>
        <d v="2014-03-07T00:00:00" u="1"/>
        <d v="2015-03-07T00:00:00" u="1"/>
        <d v="2016-03-07T00:00:00" u="1"/>
        <d v="2018-03-07T00:00:00" u="1"/>
        <d v="2019-03-07T00:00:00" u="1"/>
        <d v="2020-03-07T00:00:00" u="1"/>
        <d v="2011-11-28T00:00:00" u="1"/>
        <d v="2021-03-07T00:00:00" u="1"/>
        <d v="2013-11-28T00:00:00" u="1"/>
        <d v="2015-11-28T00:00:00" u="1"/>
        <d v="2016-11-28T00:00:00" u="1"/>
        <d v="2019-11-28T00:00:00" u="1"/>
        <d v="2020-11-28T00:00:00" u="1"/>
        <d v="2012-04-07T00:00:00" u="1"/>
        <d v="2015-04-07T00:00:00" u="1"/>
        <d v="2016-04-07T00:00:00" u="1"/>
        <d v="2018-04-07T00:00:00" u="1"/>
        <d v="2019-04-07T00:00:00" u="1"/>
        <d v="2020-04-07T00:00:00" u="1"/>
        <d v="2011-12-28T00:00:00" u="1"/>
        <d v="2021-04-07T00:00:00" u="1"/>
        <d v="2012-12-28T00:00:00" u="1"/>
        <d v="2013-12-28T00:00:00" u="1"/>
        <d v="2015-12-28T00:00:00" u="1"/>
        <d v="2016-12-28T00:00:00" u="1"/>
        <d v="2017-12-28T00:00:00" u="1"/>
        <d v="2019-12-28T00:00:00" u="1"/>
        <d v="2020-12-28T00:00:00" u="1"/>
        <d v="2013-05-07T00:00:00" u="1"/>
        <d v="2011-01-18T00:00:00" u="1"/>
        <d v="2016-05-07T00:00:00" u="1"/>
        <d v="2012-01-18T00:00:00" u="1"/>
        <d v="2013-01-18T00:00:00" u="1"/>
        <d v="2018-05-07T00:00:00" u="1"/>
        <d v="2014-01-18T00:00:00" u="1"/>
        <d v="2019-05-07T00:00:00" u="1"/>
        <d v="2020-05-07T00:00:00" u="1"/>
        <d v="2016-01-18T00:00:00" u="1"/>
        <d v="2017-01-18T00:00:00" u="1"/>
        <d v="2018-01-18T00:00:00" u="1"/>
        <d v="2020-01-18T00:00:00" u="1"/>
        <d v="2021-01-18T00:00:00" u="1"/>
        <d v="2013-06-07T00:00:00" u="1"/>
        <d v="2015-06-07T00:00:00" u="1"/>
        <d v="2016-06-07T00:00:00" u="1"/>
        <d v="2013-02-18T00:00:00" u="1"/>
        <d v="2018-06-07T00:00:00" u="1"/>
        <d v="2014-02-18T00:00:00" u="1"/>
        <d v="2019-06-07T00:00:00" u="1"/>
        <d v="2020-06-07T00:00:00" u="1"/>
        <d v="2017-02-18T00:00:00" u="1"/>
        <d v="2018-02-18T00:00:00" u="1"/>
        <d v="2020-02-18T00:00:00" u="1"/>
        <d v="2021-02-18T00:00:00" u="1"/>
        <d v="2013-07-07T00:00:00" u="1"/>
        <d v="2015-07-07T00:00:00" u="1"/>
        <d v="2017-07-07T00:00:00" u="1"/>
        <d v="2018-07-07T00:00:00" u="1"/>
        <d v="2014-03-18T00:00:00" u="1"/>
        <d v="2019-07-07T00:00:00" u="1"/>
        <d v="2015-03-18T00:00:00" u="1"/>
        <d v="2020-07-07T00:00:00" u="1"/>
        <d v="2016-03-18T00:00:00" u="1"/>
        <d v="2018-03-18T00:00:00" u="1"/>
        <d v="2019-03-18T00:00:00" u="1"/>
        <d v="2020-03-18T00:00:00" u="1"/>
        <d v="2021-03-18T00:00:00" u="1"/>
        <d v="2011-08-07T00:00:00" u="1"/>
        <d v="2013-08-07T00:00:00" u="1"/>
        <d v="2015-08-07T00:00:00" u="1"/>
        <d v="2016-08-07T00:00:00" u="1"/>
        <d v="2012-04-18T00:00:00" u="1"/>
        <d v="2018-08-07T00:00:00" u="1"/>
        <d v="2019-08-07T00:00:00" u="1"/>
        <d v="2015-04-18T00:00:00" u="1"/>
        <d v="2020-08-07T00:00:00" u="1"/>
        <d v="2016-04-18T00:00:00" u="1"/>
        <d v="2018-04-18T00:00:00" u="1"/>
        <d v="2019-04-18T00:00:00" u="1"/>
        <d v="2020-04-18T00:00:00" u="1"/>
        <d v="2021-04-18T00:00:00" u="1"/>
        <d v="2013-09-07T00:00:00" u="1"/>
        <d v="2015-09-07T00:00:00" u="1"/>
        <d v="2016-09-07T00:00:00" u="1"/>
        <d v="2013-05-18T00:00:00" u="1"/>
        <d v="2018-09-07T00:00:00" u="1"/>
        <d v="2019-09-07T00:00:00" u="1"/>
        <d v="2020-09-07T00:00:00" u="1"/>
        <d v="2011-01-29T00:00:00" u="1"/>
        <d v="2016-05-18T00:00:00" u="1"/>
        <d v="2012-01-29T00:00:00" u="1"/>
        <d v="2013-01-29T00:00:00" u="1"/>
        <d v="2018-05-18T00:00:00" u="1"/>
        <d v="2014-01-29T00:00:00" u="1"/>
        <d v="2019-05-18T00:00:00" u="1"/>
        <d v="2020-05-18T00:00:00" u="1"/>
        <d v="2016-01-29T00:00:00" u="1"/>
        <d v="2017-01-29T00:00:00" u="1"/>
        <d v="2018-01-29T00:00:00" u="1"/>
        <d v="2020-01-29T00:00:00" u="1"/>
        <d v="2021-01-29T00:00:00" u="1"/>
        <d v="2013-10-07T00:00:00" u="1"/>
        <d v="2015-10-07T00:00:00" u="1"/>
        <d v="2016-10-07T00:00:00" u="1"/>
        <d v="2013-06-18T00:00:00" u="1"/>
        <d v="2019-10-07T00:00:00" u="1"/>
        <d v="2015-06-18T00:00:00" u="1"/>
        <d v="2020-10-07T00:00:00" u="1"/>
        <d v="2016-06-18T00:00:00" u="1"/>
        <d v="2018-06-18T00:00:00" u="1"/>
        <d v="2019-06-18T00:00:00" u="1"/>
        <d v="2020-06-18T00:00:00" u="1"/>
        <d v="2020-02-29T00:00:00" u="1"/>
        <d v="2011-11-07T00:00:00" u="1"/>
        <d v="2013-11-07T00:00:00" u="1"/>
        <d v="2015-11-07T00:00:00" u="1"/>
        <d v="2016-11-07T00:00:00" u="1"/>
        <d v="2013-07-18T00:00:00" u="1"/>
        <d v="2019-11-07T00:00:00" u="1"/>
        <d v="2015-07-18T00:00:00" u="1"/>
        <d v="2020-11-07T00:00:00" u="1"/>
        <d v="2017-07-18T00:00:00" u="1"/>
        <d v="2018-07-18T00:00:00" u="1"/>
        <d v="2014-03-29T00:00:00" u="1"/>
        <d v="2019-07-18T00:00:00" u="1"/>
        <d v="2015-03-29T00:00:00" u="1"/>
        <d v="2020-07-18T00:00:00" u="1"/>
        <d v="2016-03-29T00:00:00" u="1"/>
        <d v="2018-03-29T00:00:00" u="1"/>
        <d v="2019-03-29T00:00:00" u="1"/>
        <d v="2020-03-29T00:00:00" u="1"/>
        <d v="2021-03-29T00:00:00" u="1"/>
        <d v="2011-12-07T00:00:00" u="1"/>
        <d v="2012-12-07T00:00:00" u="1"/>
        <d v="2013-12-07T00:00:00" u="1"/>
        <d v="2015-12-07T00:00:00" u="1"/>
        <d v="2011-08-18T00:00:00" u="1"/>
        <d v="2016-12-07T00:00:00" u="1"/>
        <d v="2017-12-07T00:00:00" u="1"/>
        <d v="2013-08-18T00:00:00" u="1"/>
        <d v="2019-12-07T00:00:00" u="1"/>
        <d v="2015-08-18T00:00:00" u="1"/>
        <d v="2020-12-07T00:00:00" u="1"/>
        <d v="2016-08-18T00:00:00" u="1"/>
        <d v="2012-04-29T00:00:00" u="1"/>
        <d v="2018-08-18T00:00:00" u="1"/>
        <d v="2019-08-18T00:00:00" u="1"/>
        <d v="2015-04-29T00:00:00" u="1"/>
        <d v="2020-08-18T00:00:00" u="1"/>
        <d v="2016-04-29T00:00:00" u="1"/>
        <d v="2018-04-29T00:00:00" u="1"/>
        <d v="2019-04-29T00:00:00" u="1"/>
        <d v="2020-04-29T00:00:00" u="1"/>
        <d v="2021-04-29T00:00:00" u="1"/>
        <d v="2015-09-18T00:00:00" u="1"/>
        <d v="2016-09-18T00:00:00" u="1"/>
        <d v="2013-05-29T00:00:00" u="1"/>
        <d v="2018-09-18T00:00:00" u="1"/>
        <d v="2019-09-18T00:00:00" u="1"/>
        <d v="2020-09-18T00:00:00" u="1"/>
        <d v="2016-05-29T00:00:00" u="1"/>
        <d v="2018-05-29T00:00:00" u="1"/>
        <d v="2019-05-29T00:00:00" u="1"/>
        <d v="2020-05-29T00:00:00" u="1"/>
        <d v="2013-10-18T00:00:00" u="1"/>
        <d v="2015-10-18T00:00:00" u="1"/>
        <d v="2016-10-18T00:00:00" u="1"/>
        <d v="2013-06-29T00:00:00" u="1"/>
        <d v="2019-10-18T00:00:00" u="1"/>
        <d v="2015-06-29T00:00:00" u="1"/>
        <d v="2020-10-18T00:00:00" u="1"/>
        <d v="2016-06-29T00:00:00" u="1"/>
        <d v="2018-06-29T00:00:00" u="1"/>
        <d v="2019-06-29T00:00:00" u="1"/>
        <d v="2020-06-29T00:00:00" u="1"/>
        <d v="2011-11-18T00:00:00" u="1"/>
        <d v="2013-11-18T00:00:00" u="1"/>
        <d v="2015-11-18T00:00:00" u="1"/>
        <d v="2016-11-18T00:00:00" u="1"/>
        <d v="2013-07-29T00:00:00" u="1"/>
        <d v="2019-11-18T00:00:00" u="1"/>
        <d v="2015-07-29T00:00:00" u="1"/>
        <d v="2020-11-18T00:00:00" u="1"/>
        <d v="2017-07-29T00:00:00" u="1"/>
        <d v="2018-07-29T00:00:00" u="1"/>
        <d v="2019-07-29T00:00:00" u="1"/>
        <d v="2020-07-29T00:00:00" u="1"/>
        <d v="2012-12-18T00:00:00" u="1"/>
        <d v="2013-12-18T00:00:00" u="1"/>
        <d v="2015-12-18T00:00:00" u="1"/>
        <d v="2011-08-29T00:00:00" u="1"/>
        <d v="2016-12-18T00:00:00" u="1"/>
        <d v="2017-12-18T00:00:00" u="1"/>
        <d v="2013-08-29T00:00:00" u="1"/>
        <d v="2019-12-18T00:00:00" u="1"/>
        <d v="2015-08-29T00:00:00" u="1"/>
        <d v="2020-12-18T00:00:00" u="1"/>
        <d v="2016-08-29T00:00:00" u="1"/>
        <d v="2018-08-29T00:00:00" u="1"/>
        <d v="2019-08-29T00:00:00" u="1"/>
        <d v="2020-08-29T00:00:00" u="1"/>
        <d v="2011-01-08T00:00:00" u="1"/>
        <d v="2012-01-08T00:00:00" u="1"/>
        <d v="2013-01-08T00:00:00" u="1"/>
        <d v="2014-01-08T00:00:00" u="1"/>
        <d v="2016-01-08T00:00:00" u="1"/>
        <d v="2017-01-08T00:00:00" u="1"/>
        <d v="2018-01-08T00:00:00" u="1"/>
        <d v="2020-01-08T00:00:00" u="1"/>
        <d v="2021-01-08T00:00:00" u="1"/>
        <d v="2013-09-29T00:00:00" u="1"/>
        <d v="2015-09-29T00:00:00" u="1"/>
        <d v="2016-09-29T00:00:00" u="1"/>
        <d v="2018-09-29T00:00:00" u="1"/>
        <d v="2019-09-29T00:00:00" u="1"/>
        <d v="2020-09-29T00:00:00" u="1"/>
        <d v="2012-02-08T00:00:00" u="1"/>
        <d v="2013-02-08T00:00:00" u="1"/>
        <d v="2014-02-08T00:00:00" u="1"/>
        <d v="2017-02-08T00:00:00" u="1"/>
        <d v="2018-02-08T00:00:00" u="1"/>
        <d v="2020-02-08T00:00:00" u="1"/>
        <d v="2021-02-08T00:00:00" u="1"/>
        <d v="2013-10-29T00:00:00" u="1"/>
        <d v="2015-10-29T00:00:00" u="1"/>
        <d v="2016-10-29T00:00:00" u="1"/>
        <d v="2019-10-29T00:00:00" u="1"/>
        <d v="2020-10-29T00:00:00" u="1"/>
        <d v="2014-03-08T00:00:00" u="1"/>
        <d v="2015-03-08T00:00:00" u="1"/>
        <d v="2016-03-08T00:00:00" u="1"/>
        <d v="2018-03-08T00:00:00" u="1"/>
        <d v="2019-03-08T00:00:00" u="1"/>
        <d v="2020-03-08T00:00:00" u="1"/>
        <d v="2011-11-29T00:00:00" u="1"/>
        <d v="2021-03-08T00:00:00" u="1"/>
        <d v="2013-11-29T00:00:00" u="1"/>
        <d v="2015-11-29T00:00:00" u="1"/>
        <d v="2016-11-29T00:00:00" u="1"/>
        <d v="2019-11-29T00:00:00" u="1"/>
        <d v="2020-11-29T00:00:00" u="1"/>
        <d v="2012-04-08T00:00:00" u="1"/>
        <d v="2015-04-08T00:00:00" u="1"/>
        <d v="2016-04-08T00:00:00" u="1"/>
        <d v="2018-04-08T00:00:00" u="1"/>
        <d v="2019-04-08T00:00:00" u="1"/>
        <d v="2020-04-08T00:00:00" u="1"/>
        <d v="2011-12-29T00:00:00" u="1"/>
        <d v="2021-04-08T00:00:00" u="1"/>
        <d v="2012-12-29T00:00:00" u="1"/>
        <d v="2013-12-29T00:00:00" u="1"/>
        <d v="2015-12-29T00:00:00" u="1"/>
        <d v="2016-12-29T00:00:00" u="1"/>
        <d v="2017-12-29T00:00:00" u="1"/>
        <d v="2019-12-29T00:00:00" u="1"/>
        <d v="2020-12-29T00:00:00" u="1"/>
        <d v="2013-05-08T00:00:00" u="1"/>
        <d v="2011-01-19T00:00:00" u="1"/>
        <d v="2016-05-08T00:00:00" u="1"/>
        <d v="2012-01-19T00:00:00" u="1"/>
        <d v="2013-01-19T00:00:00" u="1"/>
        <d v="2018-05-08T00:00:00" u="1"/>
        <d v="2014-01-19T00:00:00" u="1"/>
        <d v="2019-05-08T00:00:00" u="1"/>
        <d v="2020-05-08T00:00:00" u="1"/>
        <d v="2016-01-19T00:00:00" u="1"/>
        <d v="2017-01-19T00:00:00" u="1"/>
        <d v="2018-01-19T00:00:00" u="1"/>
        <d v="2020-01-19T00:00:00" u="1"/>
        <d v="2021-01-19T00:00:00" u="1"/>
        <d v="2013-06-08T00:00:00" u="1"/>
        <d v="2015-06-08T00:00:00" u="1"/>
        <d v="2016-06-08T00:00:00" u="1"/>
        <d v="2013-02-19T00:00:00" u="1"/>
        <d v="2018-06-08T00:00:00" u="1"/>
        <d v="2014-02-19T00:00:00" u="1"/>
        <d v="2019-06-08T00:00:00" u="1"/>
        <d v="2020-06-08T00:00:00" u="1"/>
        <d v="2017-02-19T00:00:00" u="1"/>
        <d v="2018-02-19T00:00:00" u="1"/>
        <d v="2020-02-19T00:00:00" u="1"/>
        <d v="2021-02-19T00:00:00" u="1"/>
        <d v="2013-07-08T00:00:00" u="1"/>
        <d v="2015-07-08T00:00:00" u="1"/>
        <d v="2017-07-08T00:00:00" u="1"/>
        <d v="2018-07-08T00:00:00" u="1"/>
        <d v="2014-03-19T00:00:00" u="1"/>
        <d v="2019-07-08T00:00:00" u="1"/>
        <d v="2015-03-19T00:00:00" u="1"/>
        <d v="2020-07-08T00:00:00" u="1"/>
        <d v="2016-03-19T00:00:00" u="1"/>
        <d v="2018-03-19T00:00:00" u="1"/>
        <d v="2019-03-19T00:00:00" u="1"/>
        <d v="2020-03-19T00:00:00" u="1"/>
        <d v="2021-03-19T00:00:00" u="1"/>
        <d v="2011-08-08T00:00:00" u="1"/>
        <d v="2013-08-08T00:00:00" u="1"/>
        <d v="2015-08-08T00:00:00" u="1"/>
        <d v="2016-08-08T00:00:00" u="1"/>
        <d v="2012-04-19T00:00:00" u="1"/>
        <d v="2018-08-08T00:00:00" u="1"/>
        <d v="2019-08-08T00:00:00" u="1"/>
        <d v="2015-04-19T00:00:00" u="1"/>
        <d v="2020-08-08T00:00:00" u="1"/>
        <d v="2016-04-19T00:00:00" u="1"/>
        <d v="2018-04-19T00:00:00" u="1"/>
        <d v="2019-04-19T00:00:00" u="1"/>
        <d v="2020-04-19T00:00:00" u="1"/>
        <d v="2021-04-19T00:00:00" u="1"/>
        <d v="2013-09-08T00:00:00" u="1"/>
        <d v="2015-09-08T00:00:00" u="1"/>
        <d v="2016-09-08T00:00:00" u="1"/>
        <d v="2013-05-19T00:00:00" u="1"/>
        <d v="2018-09-08T00:00:00" u="1"/>
        <d v="2019-09-08T00:00:00" u="1"/>
        <d v="2020-09-08T00:00:00" u="1"/>
        <d v="2011-01-30T00:00:00" u="1"/>
        <d v="2016-05-19T00:00:00" u="1"/>
        <d v="2012-01-30T00:00:00" u="1"/>
        <d v="2013-01-30T00:00:00" u="1"/>
        <d v="2018-05-19T00:00:00" u="1"/>
        <d v="2014-01-30T00:00:00" u="1"/>
        <d v="2019-05-19T00:00:00" u="1"/>
        <d v="2020-05-19T00:00:00" u="1"/>
        <d v="2016-01-30T00:00:00" u="1"/>
        <d v="2017-01-30T00:00:00" u="1"/>
        <d v="2018-01-30T00:00:00" u="1"/>
        <d v="2020-01-30T00:00:00" u="1"/>
        <d v="2021-01-30T00:00:00" u="1"/>
        <d v="2013-10-08T00:00:00" u="1"/>
        <d v="2015-10-08T00:00:00" u="1"/>
        <d v="2016-10-08T00:00:00" u="1"/>
        <d v="2013-06-19T00:00:00" u="1"/>
        <d v="2019-10-08T00:00:00" u="1"/>
        <d v="2015-06-19T00:00:00" u="1"/>
        <d v="2020-10-08T00:00:00" u="1"/>
        <d v="2016-06-19T00:00:00" u="1"/>
        <d v="2018-06-19T00:00:00" u="1"/>
        <d v="2019-06-19T00:00:00" u="1"/>
        <d v="2020-06-19T00:00:00" u="1"/>
        <d v="2011-11-08T00:00:00" u="1"/>
        <d v="2013-11-08T00:00:00" u="1"/>
        <d v="2015-11-08T00:00:00" u="1"/>
        <d v="2016-11-08T00:00:00" u="1"/>
        <d v="2013-07-19T00:00:00" u="1"/>
        <d v="2019-11-08T00:00:00" u="1"/>
        <d v="2015-07-19T00:00:00" u="1"/>
        <d v="2020-11-08T00:00:00" u="1"/>
        <d v="2017-07-19T00:00:00" u="1"/>
        <d v="2018-07-19T00:00:00" u="1"/>
        <d v="2014-03-30T00:00:00" u="1"/>
        <d v="2019-07-19T00:00:00" u="1"/>
        <d v="2015-03-30T00:00:00" u="1"/>
        <d v="2020-07-19T00:00:00" u="1"/>
        <d v="2016-03-30T00:00:00" u="1"/>
        <d v="2018-03-30T00:00:00" u="1"/>
        <d v="2019-03-30T00:00:00" u="1"/>
        <d v="2020-03-30T00:00:00" u="1"/>
        <d v="2021-03-30T00:00:00" u="1"/>
        <d v="2012-12-08T00:00:00" u="1"/>
        <d v="2013-12-08T00:00:00" u="1"/>
        <d v="2015-12-08T00:00:00" u="1"/>
        <d v="2011-08-19T00:00:00" u="1"/>
        <d v="2016-12-08T00:00:00" u="1"/>
        <d v="2017-12-08T00:00:00" u="1"/>
        <d v="2013-08-19T00:00:00" u="1"/>
        <d v="2019-12-08T00:00:00" u="1"/>
        <d v="2015-08-19T00:00:00" u="1"/>
        <d v="2020-12-08T00:00:00" u="1"/>
        <d v="2016-08-19T00:00:00" u="1"/>
        <d v="2012-04-30T00:00:00" u="1"/>
        <d v="2018-08-19T00:00:00" u="1"/>
        <d v="2019-08-19T00:00:00" u="1"/>
        <d v="2015-04-30T00:00:00" u="1"/>
        <d v="2020-08-19T00:00:00" u="1"/>
        <d v="2016-04-30T00:00:00" u="1"/>
        <d v="2018-04-30T00:00:00" u="1"/>
        <d v="2019-04-30T00:00:00" u="1"/>
        <d v="2020-04-30T00:00:00" u="1"/>
        <d v="2021-04-30T00:00:00" u="1"/>
      </sharedItems>
    </cacheField>
    <cacheField name="Mont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0">
  <r>
    <x v="0"/>
    <m/>
    <m/>
    <m/>
  </r>
  <r>
    <x v="1"/>
    <m/>
    <m/>
    <m/>
  </r>
  <r>
    <x v="2"/>
    <m/>
    <m/>
    <m/>
  </r>
  <r>
    <x v="3"/>
    <m/>
    <m/>
    <m/>
  </r>
  <r>
    <x v="4"/>
    <m/>
    <m/>
    <m/>
  </r>
  <r>
    <x v="5"/>
    <m/>
    <m/>
    <m/>
  </r>
  <r>
    <x v="6"/>
    <m/>
    <m/>
    <m/>
  </r>
  <r>
    <x v="7"/>
    <m/>
    <m/>
    <m/>
  </r>
  <r>
    <x v="8"/>
    <m/>
    <m/>
    <m/>
  </r>
  <r>
    <x v="9"/>
    <m/>
    <m/>
    <m/>
  </r>
  <r>
    <x v="10"/>
    <m/>
    <m/>
    <m/>
  </r>
  <r>
    <x v="11"/>
    <m/>
    <m/>
    <m/>
  </r>
  <r>
    <x v="12"/>
    <m/>
    <m/>
    <m/>
  </r>
  <r>
    <x v="13"/>
    <m/>
    <m/>
    <m/>
  </r>
  <r>
    <x v="14"/>
    <m/>
    <m/>
    <m/>
  </r>
  <r>
    <x v="15"/>
    <m/>
    <m/>
    <m/>
  </r>
  <r>
    <x v="16"/>
    <m/>
    <m/>
    <m/>
  </r>
  <r>
    <x v="17"/>
    <m/>
    <m/>
    <m/>
  </r>
  <r>
    <x v="18"/>
    <m/>
    <m/>
    <m/>
  </r>
  <r>
    <x v="19"/>
    <m/>
    <m/>
    <m/>
  </r>
  <r>
    <x v="20"/>
    <m/>
    <m/>
    <m/>
  </r>
  <r>
    <x v="21"/>
    <m/>
    <m/>
    <m/>
  </r>
  <r>
    <x v="22"/>
    <m/>
    <m/>
    <m/>
  </r>
  <r>
    <x v="23"/>
    <m/>
    <m/>
    <m/>
  </r>
  <r>
    <x v="24"/>
    <m/>
    <m/>
    <m/>
  </r>
  <r>
    <x v="25"/>
    <m/>
    <m/>
    <m/>
  </r>
  <r>
    <x v="26"/>
    <m/>
    <m/>
    <m/>
  </r>
  <r>
    <x v="27"/>
    <m/>
    <m/>
    <m/>
  </r>
  <r>
    <x v="28"/>
    <m/>
    <m/>
    <m/>
  </r>
  <r>
    <x v="29"/>
    <m/>
    <m/>
    <m/>
  </r>
  <r>
    <x v="30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n v="0"/>
  </r>
  <r>
    <x v="31"/>
    <m/>
    <m/>
    <m/>
  </r>
  <r>
    <x v="31"/>
    <n v="0"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  <r>
    <x v="3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m/>
  </r>
  <r>
    <x v="31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3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n v="0"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  <r>
    <x v="3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 dinámica2" cacheId="12" dataOnRows="1" applyNumberFormats="0" applyBorderFormats="0" applyFontFormats="0" applyPatternFormats="0" applyAlignmentFormats="0" applyWidthHeightFormats="1" dataCaption="Datos" updatedVersion="7" minRefreshableVersion="3" asteriskTotals="1" showMemberPropertyTips="0" useAutoFormatting="1" itemPrintTitles="1" createdVersion="3" indent="0" compact="0" compactData="0" gridDropZones="1">
  <location ref="D3:E36" firstHeaderRow="2" firstDataRow="2" firstDataCol="1"/>
  <pivotFields count="2">
    <pivotField axis="axisRow" compact="0" numFmtId="14" outline="0" subtotalTop="0" showAll="0" includeNewItemsInFilter="1">
      <items count="2172">
        <item m="1" x="531"/>
        <item h="1" x="31"/>
        <item m="1" x="745"/>
        <item m="1" x="960"/>
        <item m="1" x="1172"/>
        <item m="1" x="1383"/>
        <item m="1" x="1594"/>
        <item m="1" x="1804"/>
        <item m="1" x="2010"/>
        <item h="1" f="1" x="915"/>
        <item m="1" x="74"/>
        <item m="1" x="262"/>
        <item m="1" x="413"/>
        <item m="1" x="583"/>
        <item m="1" x="797"/>
        <item m="1" x="1010"/>
        <item m="1" x="1221"/>
        <item m="1" x="1432"/>
        <item m="1" x="1643"/>
        <item m="1" x="1854"/>
        <item m="1" x="2060"/>
        <item m="1" x="124"/>
        <item m="1" x="299"/>
        <item m="1" x="440"/>
        <item m="1" x="638"/>
        <item m="1" x="851"/>
        <item m="1" x="1064"/>
        <item m="1" x="1275"/>
        <item m="1" x="1486"/>
        <item m="1" x="1697"/>
        <item m="1" x="1908"/>
        <item m="1" x="2114"/>
        <item m="1" x="178"/>
        <item m="1" x="543"/>
        <item m="1" x="617"/>
        <item m="1" x="830"/>
        <item m="1" x="1043"/>
        <item m="1" x="1254"/>
        <item m="1" x="1465"/>
        <item m="1" x="1676"/>
        <item m="1" x="1887"/>
        <item m="1" x="2093"/>
        <item m="1" x="157"/>
        <item m="1" x="332"/>
        <item m="1" x="473"/>
        <item m="1" x="683"/>
        <item m="1" x="897"/>
        <item m="1" x="1109"/>
        <item m="1" x="1320"/>
        <item m="1" x="1531"/>
        <item m="1" x="1742"/>
        <item m="1" x="1949"/>
        <item m="1" x="2153"/>
        <item m="1" x="217"/>
        <item m="1" x="379"/>
        <item m="1" x="520"/>
        <item m="1" x="734"/>
        <item m="1" x="949"/>
        <item m="1" x="1161"/>
        <item m="1" x="1372"/>
        <item m="1" x="1583"/>
        <item m="1" x="1793"/>
        <item m="1" x="1999"/>
        <item m="1" x="63"/>
        <item m="1" x="252"/>
        <item m="1" x="877"/>
        <item m="1" x="1090"/>
        <item m="1" x="1301"/>
        <item m="1" x="1929"/>
        <item m="1" x="2134"/>
        <item m="1" x="197"/>
        <item m="1" x="366"/>
        <item m="1" x="507"/>
        <item m="1" x="1147"/>
        <item m="1" x="1358"/>
        <item m="1" x="1569"/>
        <item m="1" x="1780"/>
        <item m="1" x="1986"/>
        <item m="1" x="400"/>
        <item m="1" x="560"/>
        <item m="1" x="774"/>
        <item m="1" x="989"/>
        <item m="1" x="1200"/>
        <item m="1" x="1832"/>
        <item m="1" x="2038"/>
        <item m="1" x="102"/>
        <item m="1" x="679"/>
        <item m="1" x="893"/>
        <item m="1" x="1527"/>
        <item m="1" x="1738"/>
        <item m="1" x="1945"/>
        <item m="1" x="213"/>
        <item m="1" x="730"/>
        <item m="1" x="945"/>
        <item m="1" x="1157"/>
        <item m="1" x="1368"/>
        <item m="1" x="1579"/>
        <item m="1" x="59"/>
        <item m="1" x="248"/>
        <item m="1" x="405"/>
        <item m="1" x="572"/>
        <item m="1" x="786"/>
        <item m="1" x="1422"/>
        <item m="1" x="1633"/>
        <item m="1" x="1844"/>
        <item m="1" x="2050"/>
        <item m="1" x="114"/>
        <item m="1" x="566"/>
        <item m="1" x="780"/>
        <item m="1" x="995"/>
        <item m="1" x="1206"/>
        <item m="1" x="1416"/>
        <item m="1" x="1627"/>
        <item m="1" x="1838"/>
        <item m="1" x="2044"/>
        <item m="1" x="108"/>
        <item m="1" x="285"/>
        <item m="1" x="432"/>
        <item m="1" x="621"/>
        <item m="1" x="834"/>
        <item m="1" x="1047"/>
        <item m="1" x="1258"/>
        <item m="1" x="1469"/>
        <item m="1" x="1680"/>
        <item m="1" x="1891"/>
        <item m="1" x="2097"/>
        <item m="1" x="161"/>
        <item m="1" x="336"/>
        <item m="1" x="477"/>
        <item m="1" x="691"/>
        <item m="1" x="905"/>
        <item m="1" x="1117"/>
        <item m="1" x="1328"/>
        <item m="1" x="1539"/>
        <item m="1" x="1750"/>
        <item m="1" x="1957"/>
        <item m="1" x="2161"/>
        <item m="1" x="581"/>
        <item m="1" x="795"/>
        <item m="1" x="680"/>
        <item m="1" x="894"/>
        <item m="1" x="1106"/>
        <item m="1" x="1317"/>
        <item m="1" x="1528"/>
        <item m="1" x="1739"/>
        <item m="1" x="1946"/>
        <item m="1" x="2150"/>
        <item m="1" x="214"/>
        <item m="1" x="376"/>
        <item m="1" x="517"/>
        <item m="1" x="731"/>
        <item m="1" x="946"/>
        <item m="1" x="1158"/>
        <item m="1" x="1369"/>
        <item m="1" x="1580"/>
        <item m="1" x="1790"/>
        <item m="1" x="1996"/>
        <item m="1" x="60"/>
        <item m="1" x="249"/>
        <item m="1" x="406"/>
        <item m="1" x="574"/>
        <item m="1" x="788"/>
        <item m="1" x="1002"/>
        <item m="1" x="1424"/>
        <item m="1" x="1213"/>
        <item m="1" x="1635"/>
        <item m="1" x="1846"/>
        <item m="1" x="2052"/>
        <item m="1" x="116"/>
        <item m="1" x="292"/>
        <item m="1" x="746"/>
        <item m="1" x="961"/>
        <item m="1" x="1173"/>
        <item m="1" x="1384"/>
        <item m="1" x="1595"/>
        <item m="1" x="1805"/>
        <item m="1" x="2011"/>
        <item m="1" x="75"/>
        <item m="1" x="263"/>
        <item m="1" x="414"/>
        <item m="1" x="585"/>
        <item m="1" x="799"/>
        <item m="1" x="1012"/>
        <item m="1" x="1223"/>
        <item m="1" x="1434"/>
        <item m="1" x="1645"/>
        <item m="1" x="1856"/>
        <item m="1" x="2062"/>
        <item m="1" x="126"/>
        <item m="1" x="301"/>
        <item m="1" x="442"/>
        <item m="1" x="640"/>
        <item m="1" x="853"/>
        <item m="1" x="1066"/>
        <item m="1" x="1277"/>
        <item m="1" x="1488"/>
        <item m="1" x="1699"/>
        <item m="1" x="1910"/>
        <item m="1" x="2116"/>
        <item m="1" x="180"/>
        <item m="1" x="544"/>
        <item m="1" x="758"/>
        <item m="1" x="973"/>
        <item m="1" x="1185"/>
        <item m="1" x="1396"/>
        <item m="1" x="1607"/>
        <item m="1" x="1817"/>
        <item m="1" x="2023"/>
        <item m="1" x="87"/>
        <item m="1" x="269"/>
        <item m="1" x="420"/>
        <item m="1" x="597"/>
        <item m="1" x="810"/>
        <item m="1" x="1023"/>
        <item m="1" x="1234"/>
        <item m="1" x="1445"/>
        <item m="1" x="1656"/>
        <item m="1" x="1867"/>
        <item m="1" x="2073"/>
        <item m="1" x="137"/>
        <item m="1" x="312"/>
        <item m="1" x="453"/>
        <item m="1" x="655"/>
        <item m="1" x="868"/>
        <item m="1" x="1081"/>
        <item m="1" x="1292"/>
        <item m="1" x="1503"/>
        <item m="1" x="1714"/>
        <item m="1" x="554"/>
        <item m="1" x="768"/>
        <item m="1" x="983"/>
        <item m="1" x="582"/>
        <item m="1" x="796"/>
        <item m="1" x="1009"/>
        <item m="1" x="1220"/>
        <item m="1" x="1431"/>
        <item m="1" x="1642"/>
        <item m="1" x="1853"/>
        <item m="1" x="2059"/>
        <item m="1" x="123"/>
        <item m="1" x="298"/>
        <item m="1" x="439"/>
        <item m="1" x="634"/>
        <item m="1" x="847"/>
        <item m="1" x="1060"/>
        <item m="1" x="1271"/>
        <item m="1" x="1482"/>
        <item m="1" x="1693"/>
        <item m="1" x="1904"/>
        <item m="1" x="2110"/>
        <item m="1" x="174"/>
        <item m="1" x="349"/>
        <item m="1" x="490"/>
        <item m="1" x="704"/>
        <item m="1" x="919"/>
        <item m="1" x="1130"/>
        <item m="1" x="1341"/>
        <item m="1" x="1552"/>
        <item m="1" x="1763"/>
        <item m="1" x="1969"/>
        <item m="1" x="34"/>
        <item m="1" x="230"/>
        <item m="1" x="594"/>
        <item m="1" x="807"/>
        <item m="1" x="1020"/>
        <item m="1" x="1231"/>
        <item m="1" x="1442"/>
        <item m="1" x="1653"/>
        <item m="1" x="1864"/>
        <item m="1" x="2070"/>
        <item m="1" x="134"/>
        <item m="1" x="309"/>
        <item m="1" x="450"/>
        <item m="1" x="651"/>
        <item m="1" x="864"/>
        <item m="1" x="1077"/>
        <item m="1" x="1288"/>
        <item m="1" x="1499"/>
        <item m="1" x="1710"/>
        <item m="1" x="1921"/>
        <item m="1" x="2127"/>
        <item m="1" x="190"/>
        <item m="1" x="359"/>
        <item m="1" x="500"/>
        <item m="1" x="714"/>
        <item m="1" x="929"/>
        <item m="1" x="1140"/>
        <item m="1" x="1351"/>
        <item m="1" x="1562"/>
        <item m="1" x="1773"/>
        <item m="1" x="1979"/>
        <item m="1" x="606"/>
        <item m="1" x="819"/>
        <item m="1" x="1032"/>
        <item m="1" x="1243"/>
        <item m="1" x="1454"/>
        <item m="1" x="1665"/>
        <item m="1" x="1876"/>
        <item m="1" x="2082"/>
        <item m="1" x="146"/>
        <item m="1" x="321"/>
        <item m="1" x="462"/>
        <item m="1" x="667"/>
        <item m="1" x="881"/>
        <item m="1" x="1094"/>
        <item m="1" x="1305"/>
        <item m="1" x="1515"/>
        <item m="1" x="1726"/>
        <item m="1" x="1933"/>
        <item m="1" x="2138"/>
        <item m="1" x="201"/>
        <item m="1" x="370"/>
        <item m="1" x="511"/>
        <item m="1" x="724"/>
        <item m="1" x="939"/>
        <item m="1" x="1151"/>
        <item m="1" x="1362"/>
        <item m="1" x="1573"/>
        <item m="1" x="1784"/>
        <item m="1" x="1990"/>
        <item m="1" x="53"/>
        <item m="1" x="242"/>
        <item m="1" x="618"/>
        <item m="1" x="831"/>
        <item m="1" x="1044"/>
        <item m="1" x="1255"/>
        <item m="1" x="1466"/>
        <item m="1" x="1677"/>
        <item m="1" x="1888"/>
        <item m="1" x="2094"/>
        <item m="1" x="158"/>
        <item m="1" x="333"/>
        <item m="1" x="474"/>
        <item m="1" x="686"/>
        <item m="1" x="900"/>
        <item m="1" x="1112"/>
        <item m="1" x="1323"/>
        <item m="1" x="1534"/>
        <item m="1" x="1745"/>
        <item m="1" x="1952"/>
        <item m="1" x="2156"/>
        <item m="1" x="220"/>
        <item m="1" x="382"/>
        <item m="1" x="523"/>
        <item m="1" x="737"/>
        <item m="1" x="952"/>
        <item m="1" x="1164"/>
        <item m="1" x="1375"/>
        <item m="1" x="1586"/>
        <item m="1" x="1796"/>
        <item m="1" x="2002"/>
        <item m="1" x="66"/>
        <item m="1" x="255"/>
        <item m="1" x="631"/>
        <item m="1" x="844"/>
        <item m="1" x="1057"/>
        <item m="1" x="1268"/>
        <item m="1" x="1479"/>
        <item m="1" x="1690"/>
        <item m="1" x="1901"/>
        <item m="1" x="2107"/>
        <item m="1" x="171"/>
        <item m="1" x="346"/>
        <item m="1" x="487"/>
        <item m="1" x="701"/>
        <item m="1" x="916"/>
        <item m="1" x="1127"/>
        <item m="1" x="1338"/>
        <item m="1" x="1549"/>
        <item m="1" x="1760"/>
        <item m="1" x="390"/>
        <item m="1" x="537"/>
        <item m="1" x="752"/>
        <item m="1" x="967"/>
        <item m="1" x="1179"/>
        <item m="1" x="1390"/>
        <item m="1" x="1601"/>
        <item m="1" x="1811"/>
        <item m="1" x="2017"/>
        <item m="1" x="81"/>
        <item m="1" x="648"/>
        <item m="1" x="861"/>
        <item m="1" x="1074"/>
        <item m="1" x="1285"/>
        <item m="1" x="1496"/>
        <item m="1" x="1707"/>
        <item m="1" x="1918"/>
        <item m="1" x="2124"/>
        <item m="1" x="187"/>
        <item m="1" x="356"/>
        <item m="1" x="497"/>
        <item m="1" x="711"/>
        <item m="1" x="926"/>
        <item m="1" x="1137"/>
        <item m="1" x="1348"/>
        <item m="1" x="1559"/>
        <item m="1" x="1770"/>
        <item m="1" x="1976"/>
        <item m="1" x="41"/>
        <item m="1" x="235"/>
        <item m="1" x="396"/>
        <item m="1" x="550"/>
        <item m="1" x="764"/>
        <item m="1" x="979"/>
        <item m="1" x="1191"/>
        <item m="1" x="1402"/>
        <item m="1" x="1613"/>
        <item m="1" x="1823"/>
        <item m="1" x="2029"/>
        <item m="1" x="93"/>
        <item m="1" x="275"/>
        <item m="1" x="664"/>
        <item m="1" x="878"/>
        <item m="1" x="1091"/>
        <item m="1" x="1302"/>
        <item m="1" x="1512"/>
        <item m="1" x="1723"/>
        <item m="1" x="1930"/>
        <item m="1" x="2135"/>
        <item m="1" x="198"/>
        <item m="1" x="367"/>
        <item m="1" x="508"/>
        <item m="1" x="721"/>
        <item m="1" x="936"/>
        <item m="1" x="1148"/>
        <item m="1" x="1359"/>
        <item m="1" x="1570"/>
        <item m="1" x="1781"/>
        <item m="1" x="1987"/>
        <item m="1" x="50"/>
        <item m="1" x="239"/>
        <item m="1" x="401"/>
        <item m="1" x="562"/>
        <item m="1" x="776"/>
        <item m="1" x="991"/>
        <item m="1" x="1202"/>
        <item m="1" x="1412"/>
        <item m="1" x="1623"/>
        <item m="1" x="1834"/>
        <item m="1" x="2040"/>
        <item m="1" x="104"/>
        <item m="1" x="681"/>
        <item m="1" x="895"/>
        <item m="1" x="1107"/>
        <item m="1" x="1318"/>
        <item m="1" x="1529"/>
        <item m="1" x="1740"/>
        <item m="1" x="1947"/>
        <item m="1" x="2151"/>
        <item m="1" x="215"/>
        <item m="1" x="377"/>
        <item m="1" x="518"/>
        <item m="1" x="732"/>
        <item m="1" x="947"/>
        <item m="1" x="1159"/>
        <item m="1" x="1370"/>
        <item m="1" x="1581"/>
        <item m="1" x="1791"/>
        <item m="1" x="1997"/>
        <item m="1" x="61"/>
        <item m="1" x="250"/>
        <item m="1" x="407"/>
        <item m="1" x="575"/>
        <item m="1" x="789"/>
        <item m="1" x="1003"/>
        <item m="1" x="1214"/>
        <item m="1" x="1425"/>
        <item m="1" x="1636"/>
        <item m="1" x="1847"/>
        <item m="1" x="2053"/>
        <item m="1" x="117"/>
        <item m="1" x="293"/>
        <item m="1" x="532"/>
        <item m="1" x="747"/>
        <item m="1" x="962"/>
        <item m="1" x="1174"/>
        <item m="1" x="1385"/>
        <item m="1" x="1596"/>
        <item m="1" x="1806"/>
        <item m="1" x="2012"/>
        <item m="1" x="76"/>
        <item m="1" x="264"/>
        <item m="1" x="415"/>
        <item m="1" x="587"/>
        <item m="1" x="801"/>
        <item m="1" x="1014"/>
        <item m="1" x="1225"/>
        <item m="1" x="1436"/>
        <item m="1" x="1647"/>
        <item m="1" x="1858"/>
        <item m="1" x="2064"/>
        <item m="1" x="128"/>
        <item m="1" x="303"/>
        <item m="1" x="444"/>
        <item m="1" x="642"/>
        <item m="1" x="855"/>
        <item m="1" x="1068"/>
        <item m="1" x="1279"/>
        <item m="1" x="1490"/>
        <item m="1" x="1701"/>
        <item m="1" x="1912"/>
        <item m="1" x="2118"/>
        <item m="1" x="182"/>
        <item m="1" x="545"/>
        <item m="1" x="759"/>
        <item m="1" x="974"/>
        <item m="1" x="1186"/>
        <item m="1" x="1397"/>
        <item m="1" x="1608"/>
        <item m="1" x="1818"/>
        <item m="1" x="2024"/>
        <item m="1" x="88"/>
        <item m="1" x="270"/>
        <item m="1" x="421"/>
        <item m="1" x="599"/>
        <item m="1" x="812"/>
        <item m="1" x="1025"/>
        <item m="1" x="1236"/>
        <item m="1" x="1447"/>
        <item m="1" x="1658"/>
        <item m="1" x="1869"/>
        <item m="1" x="2075"/>
        <item m="1" x="139"/>
        <item m="1" x="314"/>
        <item m="1" x="455"/>
        <item m="1" x="657"/>
        <item m="1" x="870"/>
        <item m="1" x="1083"/>
        <item m="1" x="1294"/>
        <item m="1" x="1505"/>
        <item m="1" x="1716"/>
        <item m="1" x="555"/>
        <item m="1" x="769"/>
        <item m="1" x="984"/>
        <item m="1" x="1195"/>
        <item m="1" x="1406"/>
        <item m="1" x="1617"/>
        <item m="1" x="1827"/>
        <item m="1" x="2033"/>
        <item m="1" x="97"/>
        <item m="1" x="279"/>
        <item m="1" x="426"/>
        <item m="1" x="610"/>
        <item m="1" x="823"/>
        <item m="1" x="1036"/>
        <item m="1" x="1247"/>
        <item m="1" x="1458"/>
        <item m="1" x="1669"/>
        <item m="1" x="1880"/>
        <item m="1" x="2086"/>
        <item m="1" x="150"/>
        <item m="1" x="325"/>
        <item m="1" x="466"/>
        <item m="1" x="672"/>
        <item m="1" x="886"/>
        <item m="1" x="1099"/>
        <item m="1" x="1310"/>
        <item m="1" x="1520"/>
        <item m="1" x="1731"/>
        <item m="1" x="1938"/>
        <item m="1" x="2143"/>
        <item m="1" x="206"/>
        <item m="1" x="556"/>
        <item m="1" x="770"/>
        <item m="1" x="985"/>
        <item m="1" x="1196"/>
        <item m="1" x="1407"/>
        <item m="1" x="1618"/>
        <item m="1" x="1828"/>
        <item m="1" x="2034"/>
        <item m="1" x="98"/>
        <item m="1" x="280"/>
        <item m="1" x="427"/>
        <item m="1" x="612"/>
        <item m="1" x="825"/>
        <item m="1" x="1038"/>
        <item m="1" x="1249"/>
        <item m="1" x="1460"/>
        <item m="1" x="1671"/>
        <item m="1" x="1882"/>
        <item m="1" x="2088"/>
        <item m="1" x="152"/>
        <item m="1" x="327"/>
        <item m="1" x="468"/>
        <item m="1" x="674"/>
        <item m="1" x="888"/>
        <item m="1" x="1101"/>
        <item m="1" x="1312"/>
        <item m="1" x="1522"/>
        <item m="1" x="1733"/>
        <item m="1" x="1940"/>
        <item m="1" x="2145"/>
        <item m="1" x="208"/>
        <item m="1" x="567"/>
        <item m="1" x="781"/>
        <item m="1" x="996"/>
        <item m="1" x="1207"/>
        <item m="1" x="1417"/>
        <item m="1" x="1628"/>
        <item m="1" x="1839"/>
        <item m="1" x="2045"/>
        <item m="1" x="109"/>
        <item m="1" x="286"/>
        <item m="1" x="433"/>
        <item m="1" x="624"/>
        <item m="1" x="837"/>
        <item m="1" x="1050"/>
        <item m="1" x="1261"/>
        <item m="1" x="1472"/>
        <item m="1" x="1683"/>
        <item m="1" x="1894"/>
        <item m="1" x="2100"/>
        <item m="1" x="164"/>
        <item m="1" x="339"/>
        <item m="1" x="480"/>
        <item m="1" x="694"/>
        <item m="1" x="908"/>
        <item m="1" x="1120"/>
        <item m="1" x="1331"/>
        <item m="1" x="1542"/>
        <item m="1" x="1753"/>
        <item m="1" x="1960"/>
        <item m="1" x="2164"/>
        <item m="1" x="595"/>
        <item m="1" x="808"/>
        <item m="1" x="1021"/>
        <item m="1" x="1232"/>
        <item m="1" x="1443"/>
        <item m="1" x="1654"/>
        <item m="1" x="1865"/>
        <item m="1" x="2071"/>
        <item m="1" x="135"/>
        <item m="1" x="310"/>
        <item m="1" x="451"/>
        <item m="1" x="652"/>
        <item m="1" x="865"/>
        <item m="1" x="1078"/>
        <item m="1" x="1289"/>
        <item m="1" x="1500"/>
        <item m="1" x="1711"/>
        <item m="1" x="1922"/>
        <item m="1" x="2128"/>
        <item m="1" x="191"/>
        <item m="1" x="360"/>
        <item m="1" x="501"/>
        <item m="1" x="715"/>
        <item m="1" x="930"/>
        <item m="1" x="1141"/>
        <item m="1" x="1352"/>
        <item m="1" x="1563"/>
        <item m="1" x="1774"/>
        <item m="1" x="1980"/>
        <item m="1" x="44"/>
        <item m="1" x="607"/>
        <item m="1" x="820"/>
        <item m="1" x="1033"/>
        <item m="1" x="1244"/>
        <item m="1" x="1455"/>
        <item m="1" x="1666"/>
        <item m="1" x="1877"/>
        <item m="1" x="2083"/>
        <item m="1" x="147"/>
        <item m="1" x="322"/>
        <item m="1" x="463"/>
        <item m="1" x="669"/>
        <item m="1" x="883"/>
        <item m="1" x="1096"/>
        <item m="1" x="1307"/>
        <item m="1" x="1517"/>
        <item m="1" x="1728"/>
        <item m="1" x="1935"/>
        <item m="1" x="2140"/>
        <item m="1" x="203"/>
        <item m="1" x="372"/>
        <item m="1" x="513"/>
        <item m="1" x="726"/>
        <item m="1" x="941"/>
        <item m="1" x="1153"/>
        <item m="1" x="1364"/>
        <item m="1" x="1575"/>
        <item m="1" x="1786"/>
        <item m="1" x="1992"/>
        <item m="1" x="55"/>
        <item m="1" x="244"/>
        <item m="1" x="619"/>
        <item m="1" x="832"/>
        <item m="1" x="1045"/>
        <item m="1" x="1256"/>
        <item m="1" x="1467"/>
        <item m="1" x="1678"/>
        <item m="1" x="1889"/>
        <item m="1" x="2095"/>
        <item m="1" x="159"/>
        <item m="1" x="334"/>
        <item m="1" x="475"/>
        <item m="1" x="688"/>
        <item m="1" x="902"/>
        <item m="1" x="1114"/>
        <item m="1" x="1325"/>
        <item m="1" x="1536"/>
        <item m="1" x="1747"/>
        <item m="1" x="1954"/>
        <item m="1" x="2158"/>
        <item m="1" x="222"/>
        <item m="1" x="384"/>
        <item m="1" x="525"/>
        <item m="1" x="739"/>
        <item m="1" x="954"/>
        <item m="1" x="1166"/>
        <item m="1" x="1377"/>
        <item m="1" x="1588"/>
        <item m="1" x="1798"/>
        <item m="1" x="2004"/>
        <item m="1" x="68"/>
        <item m="1" x="257"/>
        <item m="1" x="632"/>
        <item m="1" x="845"/>
        <item m="1" x="1058"/>
        <item m="1" x="1269"/>
        <item m="1" x="1480"/>
        <item m="1" x="1691"/>
        <item m="1" x="1902"/>
        <item m="1" x="2108"/>
        <item m="1" x="172"/>
        <item m="1" x="347"/>
        <item m="1" x="488"/>
        <item m="1" x="702"/>
        <item m="1" x="917"/>
        <item m="1" x="1128"/>
        <item m="1" x="1339"/>
        <item m="1" x="1550"/>
        <item m="1" x="1761"/>
        <item m="1" x="1967"/>
        <item m="1" x="32"/>
        <item m="1" x="228"/>
        <item m="1" x="391"/>
        <item m="1" x="538"/>
        <item m="1" x="753"/>
        <item m="1" x="968"/>
        <item m="1" x="1180"/>
        <item m="1" x="1391"/>
        <item m="1" x="1602"/>
        <item m="1" x="1812"/>
        <item m="1" x="2018"/>
        <item m="1" x="82"/>
        <item m="1" x="649"/>
        <item m="1" x="862"/>
        <item m="1" x="1075"/>
        <item m="1" x="1286"/>
        <item m="1" x="1497"/>
        <item m="1" x="1708"/>
        <item m="1" x="1919"/>
        <item m="1" x="2125"/>
        <item m="1" x="188"/>
        <item m="1" x="357"/>
        <item m="1" x="498"/>
        <item m="1" x="712"/>
        <item m="1" x="927"/>
        <item m="1" x="1138"/>
        <item m="1" x="1349"/>
        <item m="1" x="1560"/>
        <item m="1" x="1771"/>
        <item m="1" x="1977"/>
        <item m="1" x="42"/>
        <item m="1" x="236"/>
        <item m="1" x="397"/>
        <item m="1" x="551"/>
        <item m="1" x="765"/>
        <item m="1" x="980"/>
        <item m="1" x="1192"/>
        <item m="1" x="1403"/>
        <item m="1" x="1614"/>
        <item m="1" x="1824"/>
        <item m="1" x="2030"/>
        <item m="1" x="94"/>
        <item m="1" x="276"/>
        <item m="1" x="665"/>
        <item m="1" x="879"/>
        <item m="1" x="1092"/>
        <item m="1" x="1303"/>
        <item m="1" x="1513"/>
        <item m="1" x="1724"/>
        <item m="1" x="1931"/>
        <item m="1" x="2136"/>
        <item m="1" x="199"/>
        <item m="1" x="368"/>
        <item m="1" x="509"/>
        <item m="1" x="722"/>
        <item m="1" x="937"/>
        <item m="1" x="1149"/>
        <item m="1" x="1360"/>
        <item m="1" x="1571"/>
        <item m="1" x="1782"/>
        <item m="1" x="1988"/>
        <item m="1" x="51"/>
        <item m="1" x="240"/>
        <item m="1" x="402"/>
        <item m="1" x="563"/>
        <item m="1" x="777"/>
        <item m="1" x="992"/>
        <item m="1" x="1203"/>
        <item m="1" x="1413"/>
        <item m="1" x="1624"/>
        <item m="1" x="1835"/>
        <item m="1" x="2041"/>
        <item m="1" x="105"/>
        <item m="1" x="682"/>
        <item m="1" x="896"/>
        <item m="1" x="1108"/>
        <item m="1" x="1319"/>
        <item m="1" x="1530"/>
        <item m="1" x="1741"/>
        <item m="1" x="1948"/>
        <item m="1" x="2152"/>
        <item m="1" x="216"/>
        <item m="1" x="378"/>
        <item m="1" x="519"/>
        <item m="1" x="733"/>
        <item m="1" x="948"/>
        <item m="1" x="1160"/>
        <item m="1" x="1371"/>
        <item m="1" x="1582"/>
        <item m="1" x="1792"/>
        <item m="1" x="1998"/>
        <item m="1" x="62"/>
        <item m="1" x="251"/>
        <item m="1" x="408"/>
        <item m="1" x="576"/>
        <item m="1" x="790"/>
        <item m="1" x="1004"/>
        <item m="1" x="1215"/>
        <item m="1" x="1426"/>
        <item m="1" x="1637"/>
        <item m="1" x="1848"/>
        <item m="1" x="2054"/>
        <item m="1" x="118"/>
        <item m="1" x="294"/>
        <item m="1" x="533"/>
        <item m="1" x="748"/>
        <item m="1" x="963"/>
        <item m="1" x="1175"/>
        <item m="1" x="1386"/>
        <item m="1" x="1597"/>
        <item m="1" x="1807"/>
        <item m="1" x="2013"/>
        <item m="1" x="77"/>
        <item m="1" x="265"/>
        <item m="1" x="416"/>
        <item m="1" x="589"/>
        <item m="1" x="803"/>
        <item m="1" x="1016"/>
        <item m="1" x="1227"/>
        <item m="1" x="1438"/>
        <item m="1" x="1649"/>
        <item m="1" x="1860"/>
        <item m="1" x="2066"/>
        <item m="1" x="130"/>
        <item m="1" x="305"/>
        <item m="1" x="446"/>
        <item m="1" x="644"/>
        <item m="1" x="857"/>
        <item m="1" x="1070"/>
        <item m="1" x="1281"/>
        <item m="1" x="1492"/>
        <item m="1" x="1703"/>
        <item m="1" x="1914"/>
        <item m="1" x="2120"/>
        <item m="1" x="184"/>
        <item m="1" x="557"/>
        <item m="1" x="771"/>
        <item m="1" x="986"/>
        <item m="1" x="1197"/>
        <item m="1" x="1408"/>
        <item m="1" x="1619"/>
        <item m="1" x="1829"/>
        <item m="1" x="2035"/>
        <item m="1" x="99"/>
        <item m="1" x="281"/>
        <item m="1" x="428"/>
        <item m="1" x="613"/>
        <item m="1" x="826"/>
        <item m="1" x="1039"/>
        <item m="1" x="1250"/>
        <item m="1" x="1461"/>
        <item m="1" x="1672"/>
        <item m="1" x="1883"/>
        <item m="1" x="2089"/>
        <item m="1" x="153"/>
        <item m="1" x="328"/>
        <item m="1" x="469"/>
        <item m="1" x="675"/>
        <item m="1" x="889"/>
        <item m="1" x="1102"/>
        <item m="1" x="1313"/>
        <item m="1" x="1523"/>
        <item m="1" x="1734"/>
        <item m="1" x="1941"/>
        <item m="1" x="2146"/>
        <item m="1" x="209"/>
        <item m="1" x="568"/>
        <item m="1" x="782"/>
        <item m="1" x="997"/>
        <item m="1" x="1208"/>
        <item m="1" x="1418"/>
        <item m="1" x="1629"/>
        <item m="1" x="1840"/>
        <item m="1" x="2046"/>
        <item m="1" x="110"/>
        <item m="1" x="287"/>
        <item m="1" x="434"/>
        <item m="1" x="626"/>
        <item m="1" x="839"/>
        <item m="1" x="1052"/>
        <item m="1" x="1263"/>
        <item m="1" x="1474"/>
        <item m="1" x="1685"/>
        <item m="1" x="1896"/>
        <item m="1" x="2102"/>
        <item m="1" x="166"/>
        <item m="1" x="341"/>
        <item m="1" x="482"/>
        <item m="1" x="696"/>
        <item m="1" x="910"/>
        <item m="1" x="1122"/>
        <item m="1" x="1333"/>
        <item m="1" x="1544"/>
        <item m="1" x="1755"/>
        <item m="1" x="1962"/>
        <item m="1" x="2166"/>
        <item m="1" x="584"/>
        <item m="1" x="798"/>
        <item m="1" x="1011"/>
        <item m="1" x="1222"/>
        <item m="1" x="1433"/>
        <item m="1" x="1644"/>
        <item m="1" x="1855"/>
        <item m="1" x="2061"/>
        <item m="1" x="125"/>
        <item m="1" x="300"/>
        <item m="1" x="441"/>
        <item m="1" x="639"/>
        <item m="1" x="852"/>
        <item m="1" x="1065"/>
        <item m="1" x="1276"/>
        <item m="1" x="1487"/>
        <item m="1" x="1698"/>
        <item m="1" x="1909"/>
        <item m="1" x="2115"/>
        <item m="1" x="179"/>
        <item m="1" x="353"/>
        <item m="1" x="494"/>
        <item m="1" x="708"/>
        <item m="1" x="923"/>
        <item m="1" x="1134"/>
        <item m="1" x="1345"/>
        <item m="1" x="1556"/>
        <item m="1" x="1767"/>
        <item m="1" x="1973"/>
        <item m="1" x="38"/>
        <item m="1" x="234"/>
        <item m="1" x="596"/>
        <item m="1" x="809"/>
        <item m="1" x="1022"/>
        <item m="1" x="1233"/>
        <item m="1" x="1444"/>
        <item m="1" x="1655"/>
        <item m="1" x="1866"/>
        <item m="1" x="2072"/>
        <item m="1" x="136"/>
        <item m="1" x="311"/>
        <item m="1" x="452"/>
        <item m="1" x="654"/>
        <item m="1" x="867"/>
        <item m="1" x="1080"/>
        <item m="1" x="1291"/>
        <item m="1" x="1502"/>
        <item m="1" x="1713"/>
        <item m="1" x="1924"/>
        <item m="1" x="2130"/>
        <item m="1" x="193"/>
        <item m="1" x="362"/>
        <item m="1" x="503"/>
        <item m="1" x="717"/>
        <item m="1" x="932"/>
        <item m="1" x="1143"/>
        <item m="1" x="1354"/>
        <item m="1" x="1565"/>
        <item m="1" x="1776"/>
        <item m="1" x="1982"/>
        <item m="1" x="46"/>
        <item m="1" x="620"/>
        <item m="1" x="833"/>
        <item m="1" x="1046"/>
        <item m="1" x="1257"/>
        <item m="1" x="1468"/>
        <item m="1" x="1679"/>
        <item m="1" x="1890"/>
        <item m="1" x="2096"/>
        <item m="1" x="160"/>
        <item m="1" x="335"/>
        <item m="1" x="476"/>
        <item m="1" x="690"/>
        <item m="1" x="904"/>
        <item m="1" x="1116"/>
        <item m="1" x="1327"/>
        <item m="1" x="1538"/>
        <item m="1" x="1749"/>
        <item m="1" x="1956"/>
        <item m="1" x="2160"/>
        <item m="1" x="224"/>
        <item m="1" x="386"/>
        <item m="1" x="527"/>
        <item m="1" x="741"/>
        <item m="1" x="956"/>
        <item m="1" x="1168"/>
        <item m="1" x="1379"/>
        <item m="1" x="1590"/>
        <item m="1" x="1800"/>
        <item m="1" x="2006"/>
        <item m="1" x="70"/>
        <item m="1" x="259"/>
        <item m="1" x="633"/>
        <item m="1" x="846"/>
        <item m="1" x="1059"/>
        <item m="1" x="1270"/>
        <item m="1" x="1481"/>
        <item m="1" x="1692"/>
        <item m="1" x="1903"/>
        <item m="1" x="2109"/>
        <item m="1" x="173"/>
        <item m="1" x="348"/>
        <item m="1" x="489"/>
        <item m="1" x="703"/>
        <item m="1" x="918"/>
        <item m="1" x="1129"/>
        <item m="1" x="1340"/>
        <item m="1" x="1551"/>
        <item m="1" x="1762"/>
        <item m="1" x="1968"/>
        <item m="1" x="33"/>
        <item m="1" x="229"/>
        <item m="1" x="392"/>
        <item m="1" x="539"/>
        <item m="1" x="754"/>
        <item m="1" x="969"/>
        <item m="1" x="1181"/>
        <item m="1" x="1392"/>
        <item m="1" x="1603"/>
        <item m="1" x="1813"/>
        <item m="1" x="2019"/>
        <item m="1" x="83"/>
        <item m="1" x="650"/>
        <item m="1" x="863"/>
        <item m="1" x="1076"/>
        <item m="1" x="1287"/>
        <item m="1" x="1498"/>
        <item m="1" x="1709"/>
        <item m="1" x="1920"/>
        <item m="1" x="2126"/>
        <item m="1" x="189"/>
        <item m="1" x="358"/>
        <item m="1" x="499"/>
        <item m="1" x="713"/>
        <item m="1" x="928"/>
        <item m="1" x="1139"/>
        <item m="1" x="1350"/>
        <item m="1" x="1561"/>
        <item m="1" x="1772"/>
        <item m="1" x="1978"/>
        <item m="1" x="43"/>
        <item m="1" x="237"/>
        <item m="1" x="398"/>
        <item m="1" x="552"/>
        <item m="1" x="766"/>
        <item m="1" x="981"/>
        <item m="1" x="1193"/>
        <item m="1" x="1404"/>
        <item m="1" x="1615"/>
        <item m="1" x="1825"/>
        <item m="1" x="2031"/>
        <item m="1" x="95"/>
        <item m="1" x="277"/>
        <item m="1" x="666"/>
        <item m="1" x="880"/>
        <item m="1" x="1093"/>
        <item m="1" x="1304"/>
        <item m="1" x="1514"/>
        <item m="1" x="1725"/>
        <item m="1" x="1932"/>
        <item m="1" x="2137"/>
        <item m="1" x="200"/>
        <item m="1" x="369"/>
        <item m="1" x="510"/>
        <item m="1" x="723"/>
        <item m="1" x="938"/>
        <item m="1" x="1150"/>
        <item m="1" x="1361"/>
        <item m="1" x="1572"/>
        <item m="1" x="1783"/>
        <item m="1" x="1989"/>
        <item m="1" x="52"/>
        <item m="1" x="241"/>
        <item m="1" x="403"/>
        <item m="1" x="564"/>
        <item m="1" x="778"/>
        <item m="1" x="993"/>
        <item m="1" x="1204"/>
        <item m="1" x="1414"/>
        <item m="1" x="1625"/>
        <item m="1" x="1836"/>
        <item m="1" x="2042"/>
        <item m="1" x="106"/>
        <item m="1" x="684"/>
        <item m="1" x="898"/>
        <item m="1" x="1110"/>
        <item m="1" x="1321"/>
        <item m="1" x="1532"/>
        <item m="1" x="1743"/>
        <item m="1" x="1950"/>
        <item m="1" x="2154"/>
        <item m="1" x="218"/>
        <item m="1" x="380"/>
        <item m="1" x="521"/>
        <item m="1" x="735"/>
        <item m="1" x="950"/>
        <item m="1" x="1162"/>
        <item m="1" x="1373"/>
        <item m="1" x="1584"/>
        <item m="1" x="1794"/>
        <item m="1" x="2000"/>
        <item m="1" x="64"/>
        <item m="1" x="253"/>
        <item m="1" x="409"/>
        <item m="1" x="577"/>
        <item m="1" x="791"/>
        <item m="1" x="1005"/>
        <item m="1" x="1216"/>
        <item m="1" x="1427"/>
        <item m="1" x="1638"/>
        <item m="1" x="1849"/>
        <item m="1" x="2055"/>
        <item m="1" x="119"/>
        <item m="1" x="534"/>
        <item m="1" x="749"/>
        <item m="1" x="964"/>
        <item m="1" x="1176"/>
        <item m="1" x="1387"/>
        <item m="1" x="1598"/>
        <item m="1" x="1808"/>
        <item m="1" x="2014"/>
        <item m="1" x="78"/>
        <item m="1" x="266"/>
        <item m="1" x="417"/>
        <item m="1" x="591"/>
        <item m="1" x="804"/>
        <item m="1" x="1017"/>
        <item m="1" x="1228"/>
        <item m="1" x="1439"/>
        <item m="1" x="1650"/>
        <item m="1" x="1861"/>
        <item m="1" x="2067"/>
        <item m="1" x="131"/>
        <item m="1" x="306"/>
        <item m="1" x="447"/>
        <item m="1" x="645"/>
        <item m="1" x="858"/>
        <item m="1" x="1071"/>
        <item m="1" x="1282"/>
        <item m="1" x="1493"/>
        <item m="1" x="1704"/>
        <item m="1" x="1915"/>
        <item m="1" x="2121"/>
        <item m="1" x="546"/>
        <item m="1" x="760"/>
        <item m="1" x="975"/>
        <item m="1" x="1187"/>
        <item m="1" x="1398"/>
        <item m="1" x="1609"/>
        <item m="1" x="1819"/>
        <item m="1" x="2025"/>
        <item m="1" x="89"/>
        <item m="1" x="271"/>
        <item m="1" x="422"/>
        <item m="1" x="602"/>
        <item m="1" x="815"/>
        <item m="1" x="1028"/>
        <item m="1" x="1239"/>
        <item m="1" x="1450"/>
        <item m="1" x="1661"/>
        <item m="1" x="1872"/>
        <item m="1" x="2078"/>
        <item m="1" x="142"/>
        <item m="1" x="317"/>
        <item m="1" x="458"/>
        <item m="1" x="660"/>
        <item m="1" x="873"/>
        <item m="1" x="1086"/>
        <item m="1" x="1297"/>
        <item m="1" x="1508"/>
        <item m="1" x="1719"/>
        <item m="1" x="608"/>
        <item m="1" x="821"/>
        <item m="1" x="1034"/>
        <item m="1" x="1245"/>
        <item m="1" x="1456"/>
        <item m="1" x="1667"/>
        <item m="1" x="1878"/>
        <item m="1" x="2084"/>
        <item m="1" x="148"/>
        <item m="1" x="323"/>
        <item m="1" x="464"/>
        <item m="1" x="670"/>
        <item m="1" x="884"/>
        <item m="1" x="1097"/>
        <item m="1" x="1308"/>
        <item m="1" x="1518"/>
        <item m="1" x="1729"/>
        <item m="1" x="1936"/>
        <item m="1" x="2141"/>
        <item m="1" x="204"/>
        <item m="1" x="373"/>
        <item m="1" x="514"/>
        <item m="1" x="727"/>
        <item m="1" x="942"/>
        <item m="1" x="1154"/>
        <item m="1" x="1365"/>
        <item m="1" x="1576"/>
        <item m="1" x="1787"/>
        <item m="1" x="1993"/>
        <item m="1" x="56"/>
        <item m="1" x="245"/>
        <item m="1" x="685"/>
        <item m="1" x="899"/>
        <item m="1" x="1111"/>
        <item m="1" x="1322"/>
        <item m="1" x="1533"/>
        <item m="1" x="1744"/>
        <item m="1" x="1951"/>
        <item m="1" x="2155"/>
        <item m="1" x="219"/>
        <item m="1" x="381"/>
        <item m="1" x="522"/>
        <item m="1" x="736"/>
        <item m="1" x="951"/>
        <item m="1" x="1163"/>
        <item m="1" x="1374"/>
        <item m="1" x="1585"/>
        <item m="1" x="1795"/>
        <item m="1" x="2001"/>
        <item m="1" x="65"/>
        <item m="1" x="254"/>
        <item m="1" x="410"/>
        <item m="1" x="578"/>
        <item m="1" x="792"/>
        <item m="1" x="1006"/>
        <item m="1" x="1217"/>
        <item m="1" x="1428"/>
        <item m="1" x="1639"/>
        <item m="1" x="1850"/>
        <item m="1" x="2056"/>
        <item m="1" x="120"/>
        <item m="1" x="295"/>
        <item m="1" x="535"/>
        <item m="1" x="750"/>
        <item m="1" x="965"/>
        <item m="1" x="1177"/>
        <item m="1" x="1388"/>
        <item m="1" x="1599"/>
        <item m="1" x="1809"/>
        <item m="1" x="2015"/>
        <item m="1" x="79"/>
        <item m="1" x="267"/>
        <item m="1" x="418"/>
        <item m="1" x="592"/>
        <item m="1" x="805"/>
        <item m="1" x="1018"/>
        <item m="1" x="1229"/>
        <item m="1" x="1440"/>
        <item m="1" x="1651"/>
        <item m="1" x="1862"/>
        <item m="1" x="2068"/>
        <item m="1" x="132"/>
        <item m="1" x="307"/>
        <item m="1" x="448"/>
        <item m="1" x="646"/>
        <item m="1" x="859"/>
        <item m="1" x="1072"/>
        <item m="1" x="1283"/>
        <item m="1" x="1494"/>
        <item m="1" x="1705"/>
        <item m="1" x="1916"/>
        <item m="1" x="2122"/>
        <item m="1" x="185"/>
        <item m="1" x="547"/>
        <item m="1" x="761"/>
        <item m="1" x="976"/>
        <item m="1" x="1188"/>
        <item m="1" x="1399"/>
        <item m="1" x="1610"/>
        <item m="1" x="1820"/>
        <item m="1" x="2026"/>
        <item m="1" x="90"/>
        <item m="1" x="272"/>
        <item m="1" x="423"/>
        <item m="1" x="603"/>
        <item m="1" x="816"/>
        <item m="1" x="1029"/>
        <item m="1" x="1240"/>
        <item m="1" x="1451"/>
        <item m="1" x="1662"/>
        <item m="1" x="1873"/>
        <item m="1" x="2079"/>
        <item m="1" x="143"/>
        <item m="1" x="318"/>
        <item m="1" x="459"/>
        <item m="1" x="661"/>
        <item m="1" x="874"/>
        <item m="1" x="1087"/>
        <item m="1" x="1298"/>
        <item m="1" x="1509"/>
        <item m="1" x="1720"/>
        <item m="1" x="558"/>
        <item m="1" x="772"/>
        <item m="1" x="987"/>
        <item m="1" x="1198"/>
        <item m="1" x="1409"/>
        <item m="1" x="1620"/>
        <item m="1" x="1830"/>
        <item m="1" x="2036"/>
        <item m="1" x="100"/>
        <item m="1" x="282"/>
        <item m="1" x="429"/>
        <item m="1" x="614"/>
        <item m="1" x="827"/>
        <item m="1" x="1040"/>
        <item m="1" x="1251"/>
        <item m="1" x="1462"/>
        <item m="1" x="1673"/>
        <item m="1" x="1884"/>
        <item m="1" x="2090"/>
        <item m="1" x="154"/>
        <item m="1" x="329"/>
        <item m="1" x="470"/>
        <item m="1" x="676"/>
        <item m="1" x="890"/>
        <item m="1" x="1103"/>
        <item m="1" x="1314"/>
        <item m="1" x="1524"/>
        <item m="1" x="1735"/>
        <item m="1" x="1942"/>
        <item m="1" x="2147"/>
        <item m="1" x="210"/>
        <item m="1" x="569"/>
        <item m="1" x="783"/>
        <item m="1" x="998"/>
        <item m="1" x="1209"/>
        <item m="1" x="1419"/>
        <item m="1" x="1630"/>
        <item m="1" x="1841"/>
        <item m="1" x="2047"/>
        <item m="1" x="111"/>
        <item m="1" x="288"/>
        <item m="1" x="435"/>
        <item m="1" x="627"/>
        <item m="1" x="840"/>
        <item m="1" x="1053"/>
        <item m="1" x="1264"/>
        <item m="1" x="1475"/>
        <item m="1" x="1686"/>
        <item m="1" x="1897"/>
        <item m="1" x="2103"/>
        <item m="1" x="167"/>
        <item m="1" x="342"/>
        <item m="1" x="483"/>
        <item m="1" x="697"/>
        <item m="1" x="911"/>
        <item m="1" x="1123"/>
        <item m="1" x="1334"/>
        <item m="1" x="1545"/>
        <item m="1" x="1756"/>
        <item m="1" x="1963"/>
        <item m="1" x="2167"/>
        <item m="1" x="586"/>
        <item m="1" x="800"/>
        <item m="1" x="1013"/>
        <item m="1" x="1224"/>
        <item m="1" x="1435"/>
        <item m="1" x="1646"/>
        <item m="1" x="1857"/>
        <item m="1" x="2063"/>
        <item m="1" x="127"/>
        <item m="1" x="302"/>
        <item m="1" x="443"/>
        <item m="1" x="641"/>
        <item m="1" x="854"/>
        <item m="1" x="1067"/>
        <item m="1" x="1278"/>
        <item m="1" x="1489"/>
        <item m="1" x="1700"/>
        <item m="1" x="1911"/>
        <item m="1" x="2117"/>
        <item m="1" x="181"/>
        <item m="1" x="354"/>
        <item m="1" x="495"/>
        <item m="1" x="709"/>
        <item m="1" x="924"/>
        <item m="1" x="1135"/>
        <item m="1" x="1346"/>
        <item m="1" x="1557"/>
        <item m="1" x="1768"/>
        <item m="1" x="1974"/>
        <item m="1" x="39"/>
        <item m="1" x="598"/>
        <item m="1" x="811"/>
        <item m="1" x="1024"/>
        <item m="1" x="1235"/>
        <item m="1" x="1446"/>
        <item m="1" x="1657"/>
        <item m="1" x="1868"/>
        <item m="1" x="2074"/>
        <item m="1" x="138"/>
        <item m="1" x="313"/>
        <item m="1" x="454"/>
        <item m="1" x="656"/>
        <item m="1" x="869"/>
        <item m="1" x="1082"/>
        <item m="1" x="1293"/>
        <item m="1" x="1504"/>
        <item m="1" x="1715"/>
        <item m="1" x="1925"/>
        <item m="1" x="2131"/>
        <item m="1" x="194"/>
        <item m="1" x="363"/>
        <item m="1" x="504"/>
        <item m="1" x="718"/>
        <item m="1" x="933"/>
        <item m="1" x="1144"/>
        <item m="1" x="1355"/>
        <item m="1" x="1566"/>
        <item m="1" x="1777"/>
        <item m="1" x="1983"/>
        <item m="1" x="47"/>
        <item m="1" x="609"/>
        <item m="1" x="822"/>
        <item m="1" x="1035"/>
        <item m="1" x="1246"/>
        <item m="1" x="1457"/>
        <item m="1" x="1668"/>
        <item m="1" x="1879"/>
        <item m="1" x="2085"/>
        <item m="1" x="149"/>
        <item m="1" x="324"/>
        <item m="1" x="465"/>
        <item m="1" x="671"/>
        <item m="1" x="885"/>
        <item m="1" x="1098"/>
        <item m="1" x="1309"/>
        <item m="1" x="1519"/>
        <item m="1" x="1730"/>
        <item m="1" x="1937"/>
        <item m="1" x="2142"/>
        <item m="1" x="205"/>
        <item m="1" x="374"/>
        <item m="1" x="515"/>
        <item m="1" x="728"/>
        <item m="1" x="943"/>
        <item m="1" x="1155"/>
        <item m="1" x="1366"/>
        <item m="1" x="1577"/>
        <item m="1" x="1788"/>
        <item m="1" x="1994"/>
        <item m="1" x="57"/>
        <item m="1" x="246"/>
        <item m="1" x="622"/>
        <item m="1" x="835"/>
        <item m="1" x="1048"/>
        <item m="1" x="1259"/>
        <item m="1" x="1470"/>
        <item m="1" x="1681"/>
        <item m="1" x="1892"/>
        <item m="1" x="2098"/>
        <item m="1" x="162"/>
        <item m="1" x="337"/>
        <item m="1" x="478"/>
        <item m="1" x="692"/>
        <item m="1" x="906"/>
        <item m="1" x="1118"/>
        <item m="1" x="1329"/>
        <item m="1" x="1540"/>
        <item m="1" x="1751"/>
        <item m="1" x="1958"/>
        <item m="1" x="2162"/>
        <item m="1" x="225"/>
        <item m="1" x="387"/>
        <item m="1" x="528"/>
        <item m="1" x="742"/>
        <item m="1" x="957"/>
        <item m="1" x="1169"/>
        <item m="1" x="1380"/>
        <item m="1" x="1591"/>
        <item m="1" x="1801"/>
        <item m="1" x="2007"/>
        <item m="1" x="71"/>
        <item m="1" x="260"/>
        <item m="1" x="635"/>
        <item m="1" x="848"/>
        <item m="1" x="1061"/>
        <item m="1" x="1272"/>
        <item m="1" x="1483"/>
        <item m="1" x="1694"/>
        <item m="1" x="1905"/>
        <item m="1" x="2111"/>
        <item m="1" x="175"/>
        <item m="1" x="350"/>
        <item m="1" x="491"/>
        <item m="1" x="705"/>
        <item m="1" x="920"/>
        <item m="1" x="1131"/>
        <item m="1" x="1342"/>
        <item m="1" x="1553"/>
        <item m="1" x="1764"/>
        <item m="1" x="1970"/>
        <item m="1" x="35"/>
        <item m="1" x="231"/>
        <item m="1" x="393"/>
        <item m="1" x="540"/>
        <item m="1" x="755"/>
        <item m="1" x="970"/>
        <item m="1" x="1182"/>
        <item m="1" x="1393"/>
        <item m="1" x="1604"/>
        <item m="1" x="1814"/>
        <item m="1" x="2020"/>
        <item m="1" x="84"/>
        <item m="1" x="559"/>
        <item m="1" x="773"/>
        <item m="1" x="988"/>
        <item m="1" x="1199"/>
        <item m="1" x="1410"/>
        <item m="1" x="1621"/>
        <item m="1" x="1831"/>
        <item m="1" x="2037"/>
        <item m="1" x="101"/>
        <item m="1" x="283"/>
        <item m="1" x="430"/>
        <item m="1" x="615"/>
        <item m="1" x="828"/>
        <item m="1" x="1041"/>
        <item m="1" x="1252"/>
        <item m="1" x="1463"/>
        <item m="1" x="1674"/>
        <item m="1" x="1885"/>
        <item m="1" x="2091"/>
        <item m="1" x="155"/>
        <item m="1" x="330"/>
        <item m="1" x="471"/>
        <item m="1" x="677"/>
        <item m="1" x="891"/>
        <item m="1" x="1104"/>
        <item m="1" x="1315"/>
        <item m="1" x="1525"/>
        <item m="1" x="1736"/>
        <item m="1" x="1943"/>
        <item m="1" x="2148"/>
        <item m="1" x="211"/>
        <item m="1" x="570"/>
        <item m="1" x="784"/>
        <item m="1" x="999"/>
        <item m="1" x="1210"/>
        <item m="1" x="1420"/>
        <item m="1" x="1631"/>
        <item m="1" x="1842"/>
        <item m="1" x="2048"/>
        <item m="1" x="112"/>
        <item m="1" x="289"/>
        <item m="1" x="436"/>
        <item m="1" x="628"/>
        <item m="1" x="841"/>
        <item m="1" x="1054"/>
        <item m="1" x="1265"/>
        <item m="1" x="1476"/>
        <item m="1" x="1687"/>
        <item m="1" x="1898"/>
        <item m="1" x="2104"/>
        <item m="1" x="168"/>
        <item m="1" x="343"/>
        <item m="1" x="484"/>
        <item m="1" x="698"/>
        <item m="1" x="912"/>
        <item m="1" x="1124"/>
        <item m="1" x="1335"/>
        <item m="1" x="1546"/>
        <item m="1" x="1757"/>
        <item m="1" x="1964"/>
        <item m="1" x="2168"/>
        <item m="1" x="588"/>
        <item m="1" x="802"/>
        <item m="1" x="1015"/>
        <item m="1" x="1226"/>
        <item m="1" x="1437"/>
        <item m="1" x="1648"/>
        <item m="1" x="1859"/>
        <item m="1" x="2065"/>
        <item m="1" x="129"/>
        <item m="1" x="304"/>
        <item m="1" x="445"/>
        <item m="1" x="643"/>
        <item m="1" x="856"/>
        <item m="1" x="1069"/>
        <item m="1" x="1280"/>
        <item m="1" x="1491"/>
        <item m="1" x="1702"/>
        <item m="1" x="1913"/>
        <item m="1" x="2119"/>
        <item m="1" x="183"/>
        <item m="1" x="355"/>
        <item m="1" x="496"/>
        <item m="1" x="710"/>
        <item m="1" x="925"/>
        <item m="1" x="1136"/>
        <item m="1" x="1347"/>
        <item m="1" x="1558"/>
        <item m="1" x="1769"/>
        <item m="1" x="1975"/>
        <item m="1" x="40"/>
        <item m="1" x="600"/>
        <item m="1" x="813"/>
        <item m="1" x="1026"/>
        <item m="1" x="1237"/>
        <item m="1" x="1448"/>
        <item m="1" x="1659"/>
        <item m="1" x="1870"/>
        <item m="1" x="2076"/>
        <item m="1" x="140"/>
        <item m="1" x="315"/>
        <item m="1" x="456"/>
        <item m="1" x="658"/>
        <item m="1" x="871"/>
        <item m="1" x="1084"/>
        <item m="1" x="1295"/>
        <item m="1" x="1506"/>
        <item m="1" x="1717"/>
        <item m="1" x="1926"/>
        <item m="1" x="2132"/>
        <item m="1" x="195"/>
        <item m="1" x="364"/>
        <item m="1" x="505"/>
        <item m="1" x="719"/>
        <item m="1" x="934"/>
        <item m="1" x="1145"/>
        <item m="1" x="1356"/>
        <item m="1" x="1567"/>
        <item m="1" x="1778"/>
        <item m="1" x="1984"/>
        <item m="1" x="48"/>
        <item m="1" x="611"/>
        <item m="1" x="824"/>
        <item m="1" x="1037"/>
        <item m="1" x="1248"/>
        <item m="1" x="1459"/>
        <item m="1" x="1670"/>
        <item m="1" x="1881"/>
        <item m="1" x="2087"/>
        <item m="1" x="151"/>
        <item m="1" x="326"/>
        <item m="1" x="467"/>
        <item m="1" x="673"/>
        <item m="1" x="887"/>
        <item m="1" x="1100"/>
        <item m="1" x="1311"/>
        <item m="1" x="1521"/>
        <item m="1" x="1732"/>
        <item m="1" x="1939"/>
        <item m="1" x="2144"/>
        <item m="1" x="207"/>
        <item m="1" x="375"/>
        <item m="1" x="516"/>
        <item m="1" x="729"/>
        <item m="1" x="944"/>
        <item m="1" x="1156"/>
        <item m="1" x="1367"/>
        <item m="1" x="1578"/>
        <item m="1" x="1789"/>
        <item m="1" x="1995"/>
        <item m="1" x="58"/>
        <item m="1" x="247"/>
        <item m="1" x="623"/>
        <item m="1" x="836"/>
        <item m="1" x="1049"/>
        <item m="1" x="1260"/>
        <item m="1" x="1471"/>
        <item m="1" x="1682"/>
        <item m="1" x="1893"/>
        <item m="1" x="2099"/>
        <item m="1" x="163"/>
        <item m="1" x="338"/>
        <item m="1" x="479"/>
        <item m="1" x="693"/>
        <item m="1" x="907"/>
        <item m="1" x="1119"/>
        <item m="1" x="1330"/>
        <item m="1" x="1541"/>
        <item m="1" x="1752"/>
        <item m="1" x="1959"/>
        <item m="1" x="2163"/>
        <item m="1" x="226"/>
        <item m="1" x="388"/>
        <item m="1" x="529"/>
        <item m="1" x="743"/>
        <item m="1" x="958"/>
        <item m="1" x="1170"/>
        <item m="1" x="1381"/>
        <item m="1" x="1592"/>
        <item m="1" x="1802"/>
        <item m="1" x="2008"/>
        <item m="1" x="72"/>
        <item m="1" x="261"/>
        <item m="1" x="636"/>
        <item m="1" x="849"/>
        <item m="1" x="1062"/>
        <item m="1" x="1273"/>
        <item m="1" x="1484"/>
        <item m="1" x="1695"/>
        <item m="1" x="1906"/>
        <item m="1" x="2112"/>
        <item m="1" x="176"/>
        <item m="1" x="351"/>
        <item m="1" x="492"/>
        <item m="1" x="706"/>
        <item m="1" x="921"/>
        <item m="1" x="1132"/>
        <item m="1" x="1343"/>
        <item m="1" x="1554"/>
        <item m="1" x="1765"/>
        <item m="1" x="1971"/>
        <item m="1" x="36"/>
        <item m="1" x="232"/>
        <item m="1" x="394"/>
        <item m="1" x="541"/>
        <item m="1" x="756"/>
        <item m="1" x="971"/>
        <item m="1" x="1183"/>
        <item m="1" x="1394"/>
        <item m="1" x="1605"/>
        <item m="1" x="1815"/>
        <item m="1" x="2021"/>
        <item m="1" x="85"/>
        <item m="1" x="668"/>
        <item m="1" x="882"/>
        <item m="1" x="1095"/>
        <item m="1" x="1306"/>
        <item m="1" x="1516"/>
        <item m="1" x="1727"/>
        <item m="1" x="1934"/>
        <item m="1" x="2139"/>
        <item m="1" x="202"/>
        <item m="1" x="371"/>
        <item m="1" x="512"/>
        <item m="1" x="725"/>
        <item m="1" x="940"/>
        <item m="1" x="1152"/>
        <item m="1" x="1363"/>
        <item m="1" x="1574"/>
        <item m="1" x="1785"/>
        <item m="1" x="1991"/>
        <item m="1" x="54"/>
        <item m="1" x="243"/>
        <item m="1" x="404"/>
        <item m="1" x="565"/>
        <item m="1" x="779"/>
        <item m="1" x="994"/>
        <item m="1" x="1205"/>
        <item m="1" x="1415"/>
        <item m="1" x="1626"/>
        <item m="1" x="1837"/>
        <item m="1" x="2043"/>
        <item m="1" x="107"/>
        <item m="1" x="687"/>
        <item m="1" x="901"/>
        <item m="1" x="1113"/>
        <item m="1" x="1324"/>
        <item m="1" x="1535"/>
        <item m="1" x="1746"/>
        <item m="1" x="1953"/>
        <item m="1" x="2157"/>
        <item m="1" x="221"/>
        <item m="1" x="383"/>
        <item m="1" x="524"/>
        <item m="1" x="738"/>
        <item m="1" x="953"/>
        <item m="1" x="1165"/>
        <item m="1" x="1376"/>
        <item m="1" x="1587"/>
        <item m="1" x="1797"/>
        <item m="1" x="2003"/>
        <item m="1" x="67"/>
        <item m="1" x="256"/>
        <item m="1" x="411"/>
        <item m="1" x="579"/>
        <item m="1" x="793"/>
        <item m="1" x="1007"/>
        <item m="1" x="1218"/>
        <item m="1" x="1429"/>
        <item m="1" x="1640"/>
        <item m="1" x="1851"/>
        <item m="1" x="2057"/>
        <item m="1" x="121"/>
        <item m="1" x="296"/>
        <item m="1" x="536"/>
        <item m="1" x="751"/>
        <item m="1" x="966"/>
        <item m="1" x="1178"/>
        <item m="1" x="1389"/>
        <item m="1" x="1600"/>
        <item m="1" x="1810"/>
        <item m="1" x="2016"/>
        <item m="1" x="80"/>
        <item m="1" x="268"/>
        <item m="1" x="419"/>
        <item m="1" x="593"/>
        <item m="1" x="806"/>
        <item m="1" x="1019"/>
        <item m="1" x="1230"/>
        <item m="1" x="1441"/>
        <item m="1" x="1652"/>
        <item m="1" x="1863"/>
        <item m="1" x="2069"/>
        <item m="1" x="133"/>
        <item m="1" x="308"/>
        <item m="1" x="449"/>
        <item m="1" x="647"/>
        <item m="1" x="860"/>
        <item m="1" x="1073"/>
        <item m="1" x="1284"/>
        <item m="1" x="1495"/>
        <item m="1" x="1706"/>
        <item m="1" x="1917"/>
        <item m="1" x="2123"/>
        <item m="1" x="186"/>
        <item m="1" x="548"/>
        <item m="1" x="762"/>
        <item m="1" x="977"/>
        <item m="1" x="1189"/>
        <item m="1" x="1400"/>
        <item m="1" x="1611"/>
        <item m="1" x="1821"/>
        <item m="1" x="2027"/>
        <item m="1" x="91"/>
        <item m="1" x="273"/>
        <item m="1" x="424"/>
        <item m="1" x="604"/>
        <item m="1" x="817"/>
        <item m="1" x="1030"/>
        <item m="1" x="1241"/>
        <item m="1" x="1452"/>
        <item m="1" x="1663"/>
        <item m="1" x="1874"/>
        <item m="1" x="2080"/>
        <item m="1" x="144"/>
        <item m="1" x="319"/>
        <item m="1" x="460"/>
        <item m="1" x="662"/>
        <item m="1" x="875"/>
        <item m="1" x="1088"/>
        <item m="1" x="1299"/>
        <item m="1" x="1510"/>
        <item m="1" x="1721"/>
        <item m="1" x="1928"/>
        <item m="1" x="571"/>
        <item m="1" x="785"/>
        <item m="1" x="1000"/>
        <item m="1" x="1211"/>
        <item m="1" x="1421"/>
        <item m="1" x="1632"/>
        <item m="1" x="1843"/>
        <item m="1" x="2049"/>
        <item m="1" x="113"/>
        <item m="1" x="290"/>
        <item m="1" x="437"/>
        <item m="1" x="629"/>
        <item m="1" x="842"/>
        <item m="1" x="1055"/>
        <item m="1" x="1266"/>
        <item m="1" x="1477"/>
        <item m="1" x="1688"/>
        <item m="1" x="1899"/>
        <item m="1" x="2105"/>
        <item m="1" x="169"/>
        <item m="1" x="344"/>
        <item m="1" x="485"/>
        <item m="1" x="699"/>
        <item m="1" x="913"/>
        <item m="1" x="1125"/>
        <item m="1" x="1336"/>
        <item m="1" x="1547"/>
        <item m="1" x="1758"/>
        <item m="1" x="1965"/>
        <item m="1" x="2169"/>
        <item m="1" x="601"/>
        <item m="1" x="814"/>
        <item m="1" x="1027"/>
        <item m="1" x="1238"/>
        <item m="1" x="1449"/>
        <item m="1" x="1660"/>
        <item m="1" x="1871"/>
        <item m="1" x="2077"/>
        <item m="1" x="141"/>
        <item m="1" x="316"/>
        <item m="1" x="457"/>
        <item m="1" x="659"/>
        <item m="1" x="872"/>
        <item m="1" x="1085"/>
        <item m="1" x="1296"/>
        <item m="1" x="1507"/>
        <item m="1" x="1718"/>
        <item m="1" x="1927"/>
        <item m="1" x="2133"/>
        <item m="1" x="196"/>
        <item m="1" x="365"/>
        <item m="1" x="506"/>
        <item m="1" x="720"/>
        <item m="1" x="935"/>
        <item m="1" x="1146"/>
        <item m="1" x="1357"/>
        <item m="1" x="1568"/>
        <item m="1" x="1779"/>
        <item m="1" x="1985"/>
        <item m="1" x="49"/>
        <item m="1" x="625"/>
        <item m="1" x="838"/>
        <item m="1" x="1051"/>
        <item m="1" x="1262"/>
        <item m="1" x="1473"/>
        <item m="1" x="1684"/>
        <item m="1" x="1895"/>
        <item m="1" x="2101"/>
        <item m="1" x="165"/>
        <item m="1" x="340"/>
        <item m="1" x="481"/>
        <item m="1" x="695"/>
        <item m="1" x="909"/>
        <item m="1" x="1121"/>
        <item m="1" x="1332"/>
        <item m="1" x="1543"/>
        <item m="1" x="1754"/>
        <item m="1" x="1961"/>
        <item m="1" x="2165"/>
        <item m="1" x="227"/>
        <item m="1" x="389"/>
        <item m="1" x="530"/>
        <item m="1" x="744"/>
        <item m="1" x="959"/>
        <item m="1" x="1171"/>
        <item m="1" x="1382"/>
        <item m="1" x="1593"/>
        <item m="1" x="1803"/>
        <item m="1" x="2009"/>
        <item m="1" x="73"/>
        <item m="1" x="637"/>
        <item m="1" x="850"/>
        <item m="1" x="1063"/>
        <item m="1" x="1274"/>
        <item m="1" x="1485"/>
        <item m="1" x="1696"/>
        <item m="1" x="1907"/>
        <item m="1" x="2113"/>
        <item m="1" x="177"/>
        <item m="1" x="352"/>
        <item m="1" x="493"/>
        <item m="1" x="707"/>
        <item m="1" x="922"/>
        <item m="1" x="1133"/>
        <item m="1" x="1344"/>
        <item m="1" x="1555"/>
        <item m="1" x="1766"/>
        <item m="1" x="1972"/>
        <item m="1" x="37"/>
        <item m="1" x="233"/>
        <item m="1" x="395"/>
        <item m="1" x="542"/>
        <item m="1" x="757"/>
        <item m="1" x="972"/>
        <item m="1" x="1184"/>
        <item m="1" x="1395"/>
        <item m="1" x="1606"/>
        <item m="1" x="1816"/>
        <item m="1" x="2022"/>
        <item m="1" x="86"/>
        <item m="1" x="653"/>
        <item m="1" x="866"/>
        <item m="1" x="1079"/>
        <item m="1" x="1290"/>
        <item m="1" x="1501"/>
        <item m="1" x="1712"/>
        <item m="1" x="1923"/>
        <item m="1" x="2129"/>
        <item m="1" x="192"/>
        <item m="1" x="361"/>
        <item m="1" x="502"/>
        <item m="1" x="716"/>
        <item m="1" x="931"/>
        <item m="1" x="1142"/>
        <item m="1" x="1353"/>
        <item m="1" x="1564"/>
        <item m="1" x="1775"/>
        <item m="1" x="1981"/>
        <item m="1" x="45"/>
        <item m="1" x="238"/>
        <item m="1" x="399"/>
        <item m="1" x="553"/>
        <item m="1" x="767"/>
        <item m="1" x="982"/>
        <item m="1" x="1194"/>
        <item m="1" x="1405"/>
        <item m="1" x="1616"/>
        <item m="1" x="1826"/>
        <item m="1" x="2032"/>
        <item m="1" x="96"/>
        <item m="1" x="278"/>
        <item m="1" x="689"/>
        <item m="1" x="903"/>
        <item m="1" x="1115"/>
        <item m="1" x="1326"/>
        <item m="1" x="1537"/>
        <item m="1" x="1748"/>
        <item m="1" x="1955"/>
        <item m="1" x="2159"/>
        <item m="1" x="223"/>
        <item m="1" x="385"/>
        <item m="1" x="526"/>
        <item m="1" x="740"/>
        <item m="1" x="955"/>
        <item m="1" x="1167"/>
        <item m="1" x="1378"/>
        <item m="1" x="1589"/>
        <item m="1" x="1799"/>
        <item m="1" x="2005"/>
        <item m="1" x="69"/>
        <item m="1" x="258"/>
        <item m="1" x="412"/>
        <item m="1" x="580"/>
        <item m="1" x="794"/>
        <item m="1" x="1008"/>
        <item m="1" x="1219"/>
        <item m="1" x="1430"/>
        <item m="1" x="1641"/>
        <item m="1" x="1852"/>
        <item m="1" x="2058"/>
        <item m="1" x="122"/>
        <item m="1" x="297"/>
        <item m="1" x="549"/>
        <item m="1" x="763"/>
        <item m="1" x="978"/>
        <item m="1" x="1190"/>
        <item m="1" x="1401"/>
        <item m="1" x="1612"/>
        <item m="1" x="1822"/>
        <item m="1" x="2028"/>
        <item m="1" x="92"/>
        <item m="1" x="274"/>
        <item m="1" x="425"/>
        <item m="1" x="605"/>
        <item m="1" x="818"/>
        <item m="1" x="1031"/>
        <item m="1" x="1242"/>
        <item m="1" x="1453"/>
        <item m="1" x="1664"/>
        <item m="1" x="1875"/>
        <item m="1" x="2081"/>
        <item m="1" x="145"/>
        <item m="1" x="320"/>
        <item m="1" x="461"/>
        <item m="1" x="663"/>
        <item m="1" x="876"/>
        <item m="1" x="1089"/>
        <item m="1" x="1300"/>
        <item m="1" x="1511"/>
        <item m="1" x="1722"/>
        <item m="1" x="561"/>
        <item m="1" x="775"/>
        <item m="1" x="990"/>
        <item m="1" x="1201"/>
        <item m="1" x="1411"/>
        <item m="1" x="1622"/>
        <item m="1" x="1833"/>
        <item m="1" x="2039"/>
        <item m="1" x="103"/>
        <item m="1" x="284"/>
        <item m="1" x="431"/>
        <item m="1" x="616"/>
        <item m="1" x="829"/>
        <item m="1" x="1042"/>
        <item m="1" x="1253"/>
        <item m="1" x="1464"/>
        <item m="1" x="1675"/>
        <item m="1" x="1886"/>
        <item m="1" x="2092"/>
        <item m="1" x="156"/>
        <item m="1" x="331"/>
        <item m="1" x="472"/>
        <item m="1" x="678"/>
        <item m="1" x="892"/>
        <item m="1" x="1105"/>
        <item m="1" x="1316"/>
        <item m="1" x="1526"/>
        <item m="1" x="1737"/>
        <item m="1" x="1944"/>
        <item m="1" x="2149"/>
        <item m="1" x="212"/>
        <item m="1" x="573"/>
        <item m="1" x="787"/>
        <item m="1" x="1001"/>
        <item m="1" x="1212"/>
        <item m="1" x="1423"/>
        <item m="1" x="1634"/>
        <item m="1" x="1845"/>
        <item m="1" x="2051"/>
        <item m="1" x="115"/>
        <item m="1" x="291"/>
        <item m="1" x="438"/>
        <item m="1" x="630"/>
        <item m="1" x="843"/>
        <item m="1" x="1056"/>
        <item m="1" x="1267"/>
        <item m="1" x="1478"/>
        <item m="1" x="1689"/>
        <item m="1" x="1900"/>
        <item m="1" x="2106"/>
        <item m="1" x="170"/>
        <item m="1" x="345"/>
        <item m="1" x="486"/>
        <item m="1" x="700"/>
        <item m="1" x="914"/>
        <item m="1" x="1126"/>
        <item m="1" x="1337"/>
        <item m="1" x="1548"/>
        <item m="1" x="1759"/>
        <item m="1" x="1966"/>
        <item m="1" x="2170"/>
        <item m="1" x="5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compact="0" outline="0" subtotalTop="0" showAll="0" includeNewItemsInFilter="1"/>
  </pivotFields>
  <rowFields count="1">
    <field x="0"/>
  </rowFields>
  <rowItems count="32"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 t="grand">
      <x/>
    </i>
  </rowItems>
  <colItems count="1">
    <i/>
  </colItems>
  <dataFields count="1">
    <dataField name="Suma de Monto" fld="1" baseField="0" baseItem="0" numFmtId="166"/>
  </dataFields>
  <formats count="4">
    <format dxfId="17">
      <pivotArea outline="0" fieldPosition="0">
        <references count="1">
          <reference field="0" count="0" selected="0"/>
        </references>
      </pivotArea>
    </format>
    <format dxfId="16">
      <pivotArea outline="0" fieldPosition="0"/>
    </format>
    <format dxfId="15">
      <pivotArea type="topRight" dataOnly="0" labelOnly="1" outline="0" fieldPosition="0"/>
    </format>
    <format dxfId="1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 dinámica1" cacheId="6" dataOnRows="1" applyNumberFormats="0" applyBorderFormats="0" applyFontFormats="0" applyPatternFormats="0" applyAlignmentFormats="0" applyWidthHeightFormats="1" dataCaption="Datos" updatedVersion="7" minRefreshableVersion="3" asteriskTotals="1" showMemberPropertyTips="0" useAutoFormatting="1" itemPrintTitles="1" createdVersion="3" indent="0" compact="0" compactData="0" gridDropZones="1">
  <location ref="A3:B36" firstHeaderRow="2" firstDataRow="2" firstDataCol="1"/>
  <pivotFields count="4">
    <pivotField axis="axisRow" compact="0" numFmtId="14" outline="0" subtotalTop="0" showAll="0" includeNewItemsInFilter="1">
      <items count="2358">
        <item h="1" x="31"/>
        <item m="1" x="811"/>
        <item m="1" x="1043"/>
        <item m="1" x="1273"/>
        <item m="1" x="1501"/>
        <item m="1" x="1730"/>
        <item m="1" x="1958"/>
        <item m="1" x="2182"/>
        <item m="1" x="78"/>
        <item m="1" x="287"/>
        <item m="1" x="451"/>
        <item m="1" x="634"/>
        <item m="1" x="867"/>
        <item m="1" x="1097"/>
        <item m="1" x="1325"/>
        <item m="1" x="1554"/>
        <item m="1" x="1783"/>
        <item m="1" x="2012"/>
        <item m="1" x="2236"/>
        <item m="1" x="132"/>
        <item m="1" x="327"/>
        <item m="1" x="480"/>
        <item m="1" x="694"/>
        <item m="1" x="925"/>
        <item m="1" x="1155"/>
        <item m="1" x="1384"/>
        <item m="1" x="1612"/>
        <item m="1" x="1841"/>
        <item m="1" x="2070"/>
        <item m="1" x="2294"/>
        <item m="1" x="190"/>
        <item m="1" x="591"/>
        <item m="1" x="672"/>
        <item m="1" x="904"/>
        <item m="1" x="1134"/>
        <item m="1" x="1362"/>
        <item m="1" x="1591"/>
        <item m="1" x="1820"/>
        <item m="1" x="2049"/>
        <item m="1" x="2273"/>
        <item m="1" x="169"/>
        <item m="1" x="364"/>
        <item m="1" x="517"/>
        <item m="1" x="745"/>
        <item m="1" x="977"/>
        <item m="1" x="1206"/>
        <item m="1" x="1435"/>
        <item m="1" x="1663"/>
        <item m="1" x="1892"/>
        <item m="1" x="2117"/>
        <item m="1" x="2339"/>
        <item m="1" x="236"/>
        <item m="1" x="415"/>
        <item m="1" x="568"/>
        <item m="1" x="800"/>
        <item m="1" x="1032"/>
        <item m="1" x="1262"/>
        <item m="1" x="1490"/>
        <item m="1" x="1719"/>
        <item m="1" x="1947"/>
        <item m="1" x="2171"/>
        <item m="1" x="67"/>
        <item m="1" x="276"/>
        <item m="1" x="954"/>
        <item m="1" x="1184"/>
        <item m="1" x="1413"/>
        <item m="1" x="2094"/>
        <item m="1" x="2317"/>
        <item m="1" x="213"/>
        <item m="1" x="400"/>
        <item m="1" x="553"/>
        <item m="1" x="1246"/>
        <item m="1" x="1475"/>
        <item m="1" x="1703"/>
        <item m="1" x="1932"/>
        <item m="1" x="2156"/>
        <item m="1" x="437"/>
        <item m="1" x="610"/>
        <item m="1" x="843"/>
        <item m="1" x="1075"/>
        <item m="1" x="1304"/>
        <item m="1" x="1989"/>
        <item m="1" x="2213"/>
        <item m="1" x="109"/>
        <item m="1" x="741"/>
        <item m="1" x="973"/>
        <item m="1" x="1659"/>
        <item m="1" x="1888"/>
        <item m="1" x="2113"/>
        <item m="1" x="232"/>
        <item m="1" x="796"/>
        <item m="1" x="1028"/>
        <item m="1" x="1258"/>
        <item m="1" x="1487"/>
        <item m="1" x="1715"/>
        <item m="1" x="63"/>
        <item m="1" x="272"/>
        <item m="1" x="443"/>
        <item m="1" x="623"/>
        <item m="1" x="856"/>
        <item m="1" x="1544"/>
        <item m="1" x="1773"/>
        <item m="1" x="2002"/>
        <item m="1" x="2226"/>
        <item m="1" x="122"/>
        <item m="1" x="617"/>
        <item m="1" x="850"/>
        <item m="1" x="1082"/>
        <item m="1" x="1311"/>
        <item m="1" x="1538"/>
        <item m="1" x="1767"/>
        <item m="1" x="1996"/>
        <item m="1" x="2220"/>
        <item m="1" x="116"/>
        <item m="1" x="313"/>
        <item m="1" x="472"/>
        <item m="1" x="676"/>
        <item m="1" x="908"/>
        <item m="1" x="1138"/>
        <item m="1" x="1366"/>
        <item m="1" x="1595"/>
        <item m="1" x="1824"/>
        <item m="1" x="2053"/>
        <item m="1" x="2277"/>
        <item m="1" x="173"/>
        <item m="1" x="368"/>
        <item m="1" x="521"/>
        <item m="1" x="753"/>
        <item m="1" x="985"/>
        <item m="1" x="1214"/>
        <item m="1" x="1443"/>
        <item m="1" x="1671"/>
        <item m="1" x="1900"/>
        <item m="1" x="2125"/>
        <item m="1" x="2347"/>
        <item m="1" x="632"/>
        <item m="1" x="865"/>
        <item m="1" x="742"/>
        <item m="1" x="974"/>
        <item m="1" x="1203"/>
        <item m="1" x="1432"/>
        <item m="1" x="1660"/>
        <item m="1" x="1889"/>
        <item m="1" x="2114"/>
        <item m="1" x="2336"/>
        <item m="1" x="233"/>
        <item m="1" x="412"/>
        <item m="1" x="565"/>
        <item m="1" x="797"/>
        <item m="1" x="1029"/>
        <item m="1" x="1259"/>
        <item m="1" x="1488"/>
        <item m="1" x="1716"/>
        <item m="1" x="1944"/>
        <item m="1" x="2168"/>
        <item m="1" x="64"/>
        <item m="1" x="273"/>
        <item m="1" x="444"/>
        <item m="1" x="625"/>
        <item m="1" x="858"/>
        <item m="1" x="1089"/>
        <item m="1" x="1546"/>
        <item m="1" x="1318"/>
        <item m="1" x="1775"/>
        <item m="1" x="2004"/>
        <item m="1" x="2228"/>
        <item m="1" x="124"/>
        <item m="1" x="320"/>
        <item m="1" x="812"/>
        <item m="1" x="1044"/>
        <item m="1" x="1274"/>
        <item m="1" x="1502"/>
        <item m="1" x="1731"/>
        <item m="1" x="1959"/>
        <item m="1" x="2183"/>
        <item m="1" x="79"/>
        <item m="1" x="288"/>
        <item m="1" x="452"/>
        <item m="1" x="636"/>
        <item m="1" x="869"/>
        <item m="1" x="1099"/>
        <item m="1" x="1327"/>
        <item m="1" x="1556"/>
        <item m="1" x="1785"/>
        <item m="1" x="2014"/>
        <item m="1" x="2238"/>
        <item m="1" x="134"/>
        <item m="1" x="329"/>
        <item m="1" x="482"/>
        <item m="1" x="696"/>
        <item m="1" x="927"/>
        <item m="1" x="1157"/>
        <item m="1" x="1386"/>
        <item m="1" x="1614"/>
        <item m="1" x="1843"/>
        <item m="1" x="2072"/>
        <item m="1" x="2296"/>
        <item m="1" x="192"/>
        <item m="1" x="592"/>
        <item m="1" x="825"/>
        <item m="1" x="1057"/>
        <item m="1" x="1287"/>
        <item m="1" x="1515"/>
        <item m="1" x="1744"/>
        <item m="1" x="1972"/>
        <item m="1" x="2196"/>
        <item m="1" x="92"/>
        <item m="1" x="295"/>
        <item m="1" x="459"/>
        <item m="1" x="650"/>
        <item m="1" x="882"/>
        <item m="1" x="1112"/>
        <item m="1" x="1340"/>
        <item m="1" x="1569"/>
        <item m="1" x="1798"/>
        <item m="1" x="2027"/>
        <item m="1" x="2251"/>
        <item m="1" x="147"/>
        <item m="1" x="342"/>
        <item m="1" x="495"/>
        <item m="1" x="714"/>
        <item m="1" x="945"/>
        <item m="1" x="1175"/>
        <item m="1" x="1404"/>
        <item m="1" x="1632"/>
        <item m="1" x="1861"/>
        <item m="1" x="603"/>
        <item m="1" x="836"/>
        <item m="1" x="1068"/>
        <item m="1" x="633"/>
        <item m="1" x="866"/>
        <item m="1" x="1096"/>
        <item m="1" x="1324"/>
        <item m="1" x="1553"/>
        <item m="1" x="1782"/>
        <item m="1" x="2011"/>
        <item m="1" x="2235"/>
        <item m="1" x="131"/>
        <item m="1" x="326"/>
        <item m="1" x="479"/>
        <item m="1" x="690"/>
        <item m="1" x="921"/>
        <item m="1" x="1151"/>
        <item m="1" x="1380"/>
        <item m="1" x="1608"/>
        <item m="1" x="1837"/>
        <item m="1" x="2066"/>
        <item m="1" x="2290"/>
        <item m="1" x="186"/>
        <item m="1" x="381"/>
        <item m="1" x="534"/>
        <item m="1" x="766"/>
        <item m="1" x="998"/>
        <item m="1" x="1227"/>
        <item m="1" x="1456"/>
        <item m="1" x="1684"/>
        <item m="1" x="1913"/>
        <item m="1" x="2137"/>
        <item m="1" x="34"/>
        <item m="1" x="249"/>
        <item m="1" x="647"/>
        <item m="1" x="879"/>
        <item m="1" x="1109"/>
        <item m="1" x="1337"/>
        <item m="1" x="1566"/>
        <item m="1" x="1795"/>
        <item m="1" x="2024"/>
        <item m="1" x="2248"/>
        <item m="1" x="144"/>
        <item m="1" x="339"/>
        <item m="1" x="492"/>
        <item m="1" x="709"/>
        <item m="1" x="940"/>
        <item m="1" x="1170"/>
        <item m="1" x="1399"/>
        <item m="1" x="1627"/>
        <item m="1" x="1856"/>
        <item m="1" x="2085"/>
        <item m="1" x="2309"/>
        <item m="1" x="205"/>
        <item m="1" x="392"/>
        <item m="1" x="545"/>
        <item m="1" x="777"/>
        <item m="1" x="1009"/>
        <item m="1" x="1238"/>
        <item m="1" x="1467"/>
        <item m="1" x="1695"/>
        <item m="1" x="1924"/>
        <item m="1" x="2148"/>
        <item m="1" x="659"/>
        <item m="1" x="891"/>
        <item m="1" x="1121"/>
        <item m="1" x="1349"/>
        <item m="1" x="1578"/>
        <item m="1" x="1807"/>
        <item m="1" x="2036"/>
        <item m="1" x="2260"/>
        <item m="1" x="156"/>
        <item m="1" x="351"/>
        <item m="1" x="504"/>
        <item m="1" x="726"/>
        <item m="1" x="958"/>
        <item m="1" x="1188"/>
        <item m="1" x="1417"/>
        <item m="1" x="1644"/>
        <item m="1" x="1873"/>
        <item m="1" x="2098"/>
        <item m="1" x="2321"/>
        <item m="1" x="217"/>
        <item m="1" x="404"/>
        <item m="1" x="557"/>
        <item m="1" x="788"/>
        <item m="1" x="1020"/>
        <item m="1" x="1250"/>
        <item m="1" x="1479"/>
        <item m="1" x="1707"/>
        <item m="1" x="1936"/>
        <item m="1" x="2160"/>
        <item m="1" x="55"/>
        <item m="1" x="264"/>
        <item m="1" x="673"/>
        <item m="1" x="905"/>
        <item m="1" x="1135"/>
        <item m="1" x="1363"/>
        <item m="1" x="1592"/>
        <item m="1" x="1821"/>
        <item m="1" x="2050"/>
        <item m="1" x="2274"/>
        <item m="1" x="170"/>
        <item m="1" x="365"/>
        <item m="1" x="518"/>
        <item m="1" x="748"/>
        <item m="1" x="980"/>
        <item m="1" x="1209"/>
        <item m="1" x="1438"/>
        <item m="1" x="1666"/>
        <item m="1" x="1895"/>
        <item m="1" x="2120"/>
        <item m="1" x="2342"/>
        <item m="1" x="239"/>
        <item m="1" x="418"/>
        <item m="1" x="571"/>
        <item m="1" x="803"/>
        <item m="1" x="1035"/>
        <item m="1" x="1265"/>
        <item m="1" x="1493"/>
        <item m="1" x="1722"/>
        <item m="1" x="1950"/>
        <item m="1" x="2174"/>
        <item m="1" x="70"/>
        <item m="1" x="279"/>
        <item m="1" x="687"/>
        <item m="1" x="918"/>
        <item m="1" x="1148"/>
        <item m="1" x="1377"/>
        <item m="1" x="1605"/>
        <item m="1" x="1834"/>
        <item m="1" x="2063"/>
        <item m="1" x="2287"/>
        <item m="1" x="183"/>
        <item m="1" x="378"/>
        <item m="1" x="531"/>
        <item m="1" x="763"/>
        <item m="1" x="995"/>
        <item m="1" x="1224"/>
        <item m="1" x="1453"/>
        <item m="1" x="1681"/>
        <item m="1" x="1910"/>
        <item m="1" x="426"/>
        <item m="1" x="585"/>
        <item m="1" x="819"/>
        <item m="1" x="1051"/>
        <item m="1" x="1281"/>
        <item m="1" x="1509"/>
        <item m="1" x="1738"/>
        <item m="1" x="1966"/>
        <item m="1" x="2190"/>
        <item m="1" x="86"/>
        <item m="1" x="706"/>
        <item m="1" x="937"/>
        <item m="1" x="1167"/>
        <item m="1" x="1396"/>
        <item m="1" x="1624"/>
        <item m="1" x="1853"/>
        <item m="1" x="2082"/>
        <item m="1" x="2306"/>
        <item m="1" x="202"/>
        <item m="1" x="389"/>
        <item m="1" x="542"/>
        <item m="1" x="774"/>
        <item m="1" x="1006"/>
        <item m="1" x="1235"/>
        <item m="1" x="1464"/>
        <item m="1" x="1692"/>
        <item m="1" x="1921"/>
        <item m="1" x="2145"/>
        <item m="1" x="42"/>
        <item m="1" x="256"/>
        <item m="1" x="432"/>
        <item m="1" x="598"/>
        <item m="1" x="831"/>
        <item m="1" x="1063"/>
        <item m="1" x="1293"/>
        <item m="1" x="1521"/>
        <item m="1" x="1750"/>
        <item m="1" x="1978"/>
        <item m="1" x="2202"/>
        <item m="1" x="98"/>
        <item m="1" x="301"/>
        <item m="1" x="723"/>
        <item m="1" x="955"/>
        <item m="1" x="1185"/>
        <item m="1" x="1414"/>
        <item m="1" x="1641"/>
        <item m="1" x="1870"/>
        <item m="1" x="2095"/>
        <item m="1" x="2318"/>
        <item m="1" x="214"/>
        <item m="1" x="401"/>
        <item m="1" x="554"/>
        <item m="1" x="785"/>
        <item m="1" x="1017"/>
        <item m="1" x="1247"/>
        <item m="1" x="1476"/>
        <item m="1" x="1704"/>
        <item m="1" x="1933"/>
        <item m="1" x="2157"/>
        <item m="1" x="52"/>
        <item m="1" x="261"/>
        <item m="1" x="438"/>
        <item m="1" x="612"/>
        <item m="1" x="845"/>
        <item m="1" x="1077"/>
        <item m="1" x="1306"/>
        <item m="1" x="1533"/>
        <item m="1" x="1762"/>
        <item m="1" x="1991"/>
        <item m="1" x="2215"/>
        <item m="1" x="111"/>
        <item m="1" x="743"/>
        <item m="1" x="975"/>
        <item m="1" x="1204"/>
        <item m="1" x="1433"/>
        <item m="1" x="1661"/>
        <item m="1" x="1890"/>
        <item m="1" x="2115"/>
        <item m="1" x="2337"/>
        <item m="1" x="234"/>
        <item m="1" x="413"/>
        <item m="1" x="566"/>
        <item m="1" x="798"/>
        <item m="1" x="1030"/>
        <item m="1" x="1260"/>
        <item m="1" x="1717"/>
        <item m="1" x="1945"/>
        <item m="1" x="2169"/>
        <item m="1" x="65"/>
        <item m="1" x="274"/>
        <item m="1" x="445"/>
        <item m="1" x="626"/>
        <item m="1" x="859"/>
        <item m="1" x="1090"/>
        <item m="1" x="1547"/>
        <item m="1" x="1776"/>
        <item m="1" x="2005"/>
        <item m="1" x="2229"/>
        <item m="1" x="125"/>
        <item m="1" x="321"/>
        <item m="1" x="579"/>
        <item m="1" x="813"/>
        <item m="1" x="1045"/>
        <item m="1" x="1275"/>
        <item m="1" x="1503"/>
        <item m="1" x="1732"/>
        <item m="1" x="1960"/>
        <item m="1" x="2184"/>
        <item m="1" x="80"/>
        <item m="1" x="289"/>
        <item m="1" x="453"/>
        <item m="1" x="638"/>
        <item m="1" x="871"/>
        <item m="1" x="1101"/>
        <item m="1" x="1368"/>
        <item m="1" x="1329"/>
        <item m="1" x="1558"/>
        <item m="1" x="1787"/>
        <item m="1" x="2016"/>
        <item m="1" x="2240"/>
        <item m="1" x="136"/>
        <item m="1" x="331"/>
        <item m="1" x="484"/>
        <item m="1" x="698"/>
        <item m="1" x="929"/>
        <item m="1" x="1159"/>
        <item m="1" x="1388"/>
        <item m="1" x="1616"/>
        <item m="1" x="1845"/>
        <item m="1" x="2074"/>
        <item m="1" x="2298"/>
        <item m="1" x="194"/>
        <item m="1" x="593"/>
        <item m="1" x="826"/>
        <item m="1" x="1058"/>
        <item m="1" x="1288"/>
        <item m="1" x="1516"/>
        <item m="1" x="1745"/>
        <item m="1" x="1973"/>
        <item m="1" x="2197"/>
        <item m="1" x="93"/>
        <item m="1" x="296"/>
        <item m="1" x="460"/>
        <item m="1" x="652"/>
        <item m="1" x="884"/>
        <item m="1" x="1114"/>
        <item m="1" x="1342"/>
        <item m="1" x="1571"/>
        <item m="1" x="1800"/>
        <item m="1" x="2029"/>
        <item m="1" x="2253"/>
        <item m="1" x="149"/>
        <item m="1" x="344"/>
        <item m="1" x="497"/>
        <item m="1" x="716"/>
        <item m="1" x="947"/>
        <item m="1" x="1177"/>
        <item m="1" x="1406"/>
        <item m="1" x="1634"/>
        <item m="1" x="1863"/>
        <item m="1" x="604"/>
        <item m="1" x="837"/>
        <item m="1" x="1069"/>
        <item m="1" x="1298"/>
        <item m="1" x="1526"/>
        <item m="1" x="1755"/>
        <item m="1" x="1983"/>
        <item m="1" x="2207"/>
        <item m="1" x="103"/>
        <item m="1" x="306"/>
        <item m="1" x="465"/>
        <item m="1" x="663"/>
        <item m="1" x="895"/>
        <item m="1" x="1125"/>
        <item m="1" x="1353"/>
        <item m="1" x="1582"/>
        <item m="1" x="1811"/>
        <item m="1" x="2040"/>
        <item m="1" x="2264"/>
        <item m="1" x="160"/>
        <item m="1" x="355"/>
        <item m="1" x="508"/>
        <item m="1" x="732"/>
        <item m="1" x="964"/>
        <item m="1" x="1194"/>
        <item m="1" x="1423"/>
        <item m="1" x="1650"/>
        <item m="1" x="1879"/>
        <item m="1" x="2104"/>
        <item m="1" x="2327"/>
        <item m="1" x="223"/>
        <item m="1" x="605"/>
        <item m="1" x="838"/>
        <item m="1" x="1070"/>
        <item m="1" x="1299"/>
        <item m="1" x="1527"/>
        <item m="1" x="1756"/>
        <item m="1" x="1984"/>
        <item m="1" x="2208"/>
        <item m="1" x="104"/>
        <item m="1" x="307"/>
        <item m="1" x="466"/>
        <item m="1" x="665"/>
        <item m="1" x="897"/>
        <item m="1" x="1127"/>
        <item m="1" x="1355"/>
        <item m="1" x="1584"/>
        <item m="1" x="1813"/>
        <item m="1" x="2042"/>
        <item m="1" x="2266"/>
        <item m="1" x="162"/>
        <item m="1" x="357"/>
        <item m="1" x="510"/>
        <item m="1" x="734"/>
        <item m="1" x="966"/>
        <item m="1" x="1196"/>
        <item m="1" x="1425"/>
        <item m="1" x="1652"/>
        <item m="1" x="1881"/>
        <item m="1" x="2106"/>
        <item m="1" x="2329"/>
        <item m="1" x="225"/>
        <item m="1" x="618"/>
        <item m="1" x="851"/>
        <item m="1" x="1083"/>
        <item m="1" x="1312"/>
        <item m="1" x="1539"/>
        <item m="1" x="1768"/>
        <item m="1" x="1997"/>
        <item m="1" x="2221"/>
        <item m="1" x="117"/>
        <item m="1" x="314"/>
        <item m="1" x="473"/>
        <item m="1" x="680"/>
        <item m="1" x="911"/>
        <item m="1" x="1141"/>
        <item m="1" x="1370"/>
        <item m="1" x="1598"/>
        <item m="1" x="1827"/>
        <item m="1" x="2056"/>
        <item m="1" x="2280"/>
        <item m="1" x="176"/>
        <item m="1" x="371"/>
        <item m="1" x="524"/>
        <item m="1" x="756"/>
        <item m="1" x="988"/>
        <item m="1" x="1217"/>
        <item m="1" x="1446"/>
        <item m="1" x="1674"/>
        <item m="1" x="1903"/>
        <item m="1" x="2128"/>
        <item m="1" x="2350"/>
        <item m="1" x="648"/>
        <item m="1" x="880"/>
        <item m="1" x="1110"/>
        <item m="1" x="1338"/>
        <item m="1" x="1567"/>
        <item m="1" x="1796"/>
        <item m="1" x="2025"/>
        <item m="1" x="2249"/>
        <item m="1" x="145"/>
        <item m="1" x="340"/>
        <item m="1" x="493"/>
        <item m="1" x="711"/>
        <item m="1" x="942"/>
        <item m="1" x="1172"/>
        <item m="1" x="1401"/>
        <item m="1" x="1629"/>
        <item m="1" x="1858"/>
        <item m="1" x="2087"/>
        <item m="1" x="2311"/>
        <item m="1" x="207"/>
        <item m="1" x="394"/>
        <item m="1" x="547"/>
        <item m="1" x="779"/>
        <item m="1" x="1011"/>
        <item m="1" x="1240"/>
        <item m="1" x="1469"/>
        <item m="1" x="1697"/>
        <item m="1" x="1926"/>
        <item m="1" x="2150"/>
        <item m="1" x="46"/>
        <item m="1" x="660"/>
        <item m="1" x="892"/>
        <item m="1" x="1122"/>
        <item m="1" x="1350"/>
        <item m="1" x="1579"/>
        <item m="1" x="1808"/>
        <item m="1" x="2037"/>
        <item m="1" x="2261"/>
        <item m="1" x="157"/>
        <item m="1" x="352"/>
        <item m="1" x="505"/>
        <item m="1" x="728"/>
        <item m="1" x="960"/>
        <item m="1" x="1190"/>
        <item m="1" x="1419"/>
        <item m="1" x="1646"/>
        <item m="1" x="1875"/>
        <item m="1" x="2100"/>
        <item m="1" x="2323"/>
        <item m="1" x="219"/>
        <item m="1" x="406"/>
        <item m="1" x="559"/>
        <item m="1" x="790"/>
        <item m="1" x="1022"/>
        <item m="1" x="1252"/>
        <item m="1" x="1481"/>
        <item m="1" x="1709"/>
        <item m="1" x="1938"/>
        <item m="1" x="2162"/>
        <item m="1" x="57"/>
        <item m="1" x="266"/>
        <item m="1" x="674"/>
        <item m="1" x="906"/>
        <item m="1" x="1136"/>
        <item m="1" x="1364"/>
        <item m="1" x="1593"/>
        <item m="1" x="1822"/>
        <item m="1" x="2051"/>
        <item m="1" x="2275"/>
        <item m="1" x="171"/>
        <item m="1" x="366"/>
        <item m="1" x="519"/>
        <item m="1" x="750"/>
        <item m="1" x="982"/>
        <item m="1" x="1211"/>
        <item m="1" x="1440"/>
        <item m="1" x="1668"/>
        <item m="1" x="1897"/>
        <item m="1" x="2122"/>
        <item m="1" x="2344"/>
        <item m="1" x="241"/>
        <item m="1" x="420"/>
        <item m="1" x="573"/>
        <item m="1" x="805"/>
        <item m="1" x="1037"/>
        <item m="1" x="1267"/>
        <item m="1" x="1495"/>
        <item m="1" x="1724"/>
        <item m="1" x="1952"/>
        <item m="1" x="2176"/>
        <item m="1" x="72"/>
        <item m="1" x="281"/>
        <item m="1" x="688"/>
        <item m="1" x="919"/>
        <item m="1" x="1149"/>
        <item m="1" x="1378"/>
        <item m="1" x="1606"/>
        <item m="1" x="1835"/>
        <item m="1" x="2064"/>
        <item m="1" x="2288"/>
        <item m="1" x="184"/>
        <item m="1" x="379"/>
        <item m="1" x="532"/>
        <item m="1" x="764"/>
        <item m="1" x="996"/>
        <item m="1" x="1225"/>
        <item m="1" x="1454"/>
        <item m="1" x="1682"/>
        <item m="1" x="1911"/>
        <item m="1" x="2135"/>
        <item m="1" x="32"/>
        <item m="1" x="247"/>
        <item m="1" x="427"/>
        <item m="1" x="586"/>
        <item m="1" x="820"/>
        <item m="1" x="1052"/>
        <item m="1" x="1282"/>
        <item m="1" x="1510"/>
        <item m="1" x="1739"/>
        <item m="1" x="1967"/>
        <item m="1" x="2191"/>
        <item m="1" x="87"/>
        <item m="1" x="707"/>
        <item m="1" x="938"/>
        <item m="1" x="1168"/>
        <item m="1" x="1397"/>
        <item m="1" x="1625"/>
        <item m="1" x="1854"/>
        <item m="1" x="2083"/>
        <item m="1" x="2307"/>
        <item m="1" x="203"/>
        <item m="1" x="390"/>
        <item m="1" x="543"/>
        <item m="1" x="775"/>
        <item m="1" x="1007"/>
        <item m="1" x="1236"/>
        <item m="1" x="1465"/>
        <item m="1" x="1693"/>
        <item m="1" x="1922"/>
        <item m="1" x="2146"/>
        <item m="1" x="43"/>
        <item m="1" x="257"/>
        <item m="1" x="433"/>
        <item m="1" x="599"/>
        <item m="1" x="832"/>
        <item m="1" x="1064"/>
        <item m="1" x="1294"/>
        <item m="1" x="1522"/>
        <item m="1" x="1751"/>
        <item m="1" x="1979"/>
        <item m="1" x="2203"/>
        <item m="1" x="99"/>
        <item m="1" x="302"/>
        <item m="1" x="724"/>
        <item m="1" x="956"/>
        <item m="1" x="1186"/>
        <item m="1" x="1415"/>
        <item m="1" x="1642"/>
        <item m="1" x="1871"/>
        <item m="1" x="2096"/>
        <item m="1" x="2319"/>
        <item m="1" x="215"/>
        <item m="1" x="402"/>
        <item m="1" x="555"/>
        <item m="1" x="786"/>
        <item m="1" x="1018"/>
        <item m="1" x="1248"/>
        <item m="1" x="1477"/>
        <item m="1" x="1705"/>
        <item m="1" x="1934"/>
        <item m="1" x="2158"/>
        <item m="1" x="53"/>
        <item m="1" x="262"/>
        <item m="1" x="439"/>
        <item m="1" x="613"/>
        <item m="1" x="846"/>
        <item m="1" x="1078"/>
        <item m="1" x="1307"/>
        <item m="1" x="1534"/>
        <item m="1" x="1763"/>
        <item m="1" x="1992"/>
        <item m="1" x="2216"/>
        <item m="1" x="112"/>
        <item m="1" x="744"/>
        <item m="1" x="976"/>
        <item m="1" x="1205"/>
        <item m="1" x="1434"/>
        <item m="1" x="1662"/>
        <item m="1" x="1891"/>
        <item m="1" x="2116"/>
        <item m="1" x="2338"/>
        <item m="1" x="235"/>
        <item m="1" x="414"/>
        <item m="1" x="567"/>
        <item m="1" x="799"/>
        <item m="1" x="1031"/>
        <item m="1" x="1261"/>
        <item m="1" x="1489"/>
        <item m="1" x="1718"/>
        <item m="1" x="1946"/>
        <item m="1" x="2170"/>
        <item m="1" x="66"/>
        <item m="1" x="275"/>
        <item m="1" x="446"/>
        <item m="1" x="627"/>
        <item m="1" x="860"/>
        <item m="1" x="1091"/>
        <item m="1" x="1319"/>
        <item m="1" x="1548"/>
        <item m="1" x="1777"/>
        <item m="1" x="2006"/>
        <item m="1" x="2230"/>
        <item m="1" x="126"/>
        <item m="1" x="322"/>
        <item m="1" x="580"/>
        <item m="1" x="814"/>
        <item m="1" x="1046"/>
        <item m="1" x="1276"/>
        <item m="1" x="1504"/>
        <item m="1" x="1733"/>
        <item m="1" x="1961"/>
        <item m="1" x="2185"/>
        <item m="1" x="81"/>
        <item m="1" x="290"/>
        <item m="1" x="454"/>
        <item m="1" x="641"/>
        <item m="1" x="874"/>
        <item m="1" x="1104"/>
        <item m="1" x="1332"/>
        <item m="1" x="1561"/>
        <item m="1" x="1790"/>
        <item m="1" x="2019"/>
        <item m="1" x="2243"/>
        <item m="1" x="139"/>
        <item m="1" x="334"/>
        <item m="1" x="487"/>
        <item m="1" x="701"/>
        <item m="1" x="932"/>
        <item m="1" x="1162"/>
        <item m="1" x="1391"/>
        <item m="1" x="1619"/>
        <item m="1" x="1848"/>
        <item m="1" x="2077"/>
        <item m="1" x="2301"/>
        <item m="1" x="197"/>
        <item m="1" x="606"/>
        <item m="1" x="839"/>
        <item m="1" x="1071"/>
        <item m="1" x="1300"/>
        <item m="1" x="1528"/>
        <item m="1" x="1757"/>
        <item m="1" x="1985"/>
        <item m="1" x="2209"/>
        <item m="1" x="105"/>
        <item m="1" x="308"/>
        <item m="1" x="467"/>
        <item m="1" x="667"/>
        <item m="1" x="899"/>
        <item m="1" x="1129"/>
        <item m="1" x="1357"/>
        <item m="1" x="1586"/>
        <item m="1" x="1815"/>
        <item m="1" x="2044"/>
        <item m="1" x="2268"/>
        <item m="1" x="164"/>
        <item m="1" x="359"/>
        <item m="1" x="512"/>
        <item m="1" x="736"/>
        <item m="1" x="968"/>
        <item m="1" x="1198"/>
        <item m="1" x="1427"/>
        <item m="1" x="1654"/>
        <item m="1" x="1883"/>
        <item m="1" x="2108"/>
        <item m="1" x="2331"/>
        <item m="1" x="227"/>
        <item m="1" x="619"/>
        <item m="1" x="852"/>
        <item m="1" x="1084"/>
        <item m="1" x="1313"/>
        <item m="1" x="1540"/>
        <item m="1" x="1769"/>
        <item m="1" x="1998"/>
        <item m="1" x="2222"/>
        <item m="1" x="118"/>
        <item m="1" x="315"/>
        <item m="1" x="474"/>
        <item m="1" x="682"/>
        <item m="1" x="913"/>
        <item m="1" x="1143"/>
        <item m="1" x="1372"/>
        <item m="1" x="1600"/>
        <item m="1" x="1829"/>
        <item m="1" x="2058"/>
        <item m="1" x="2282"/>
        <item m="1" x="178"/>
        <item m="1" x="373"/>
        <item m="1" x="526"/>
        <item m="1" x="758"/>
        <item m="1" x="990"/>
        <item m="1" x="1219"/>
        <item m="1" x="1448"/>
        <item m="1" x="1676"/>
        <item m="1" x="1905"/>
        <item m="1" x="2130"/>
        <item m="1" x="2352"/>
        <item m="1" x="635"/>
        <item m="1" x="868"/>
        <item m="1" x="1098"/>
        <item m="1" x="1326"/>
        <item m="1" x="1555"/>
        <item m="1" x="1784"/>
        <item m="1" x="2013"/>
        <item m="1" x="2237"/>
        <item m="1" x="133"/>
        <item m="1" x="328"/>
        <item m="1" x="481"/>
        <item m="1" x="695"/>
        <item m="1" x="926"/>
        <item m="1" x="1156"/>
        <item m="1" x="1385"/>
        <item m="1" x="1613"/>
        <item m="1" x="1842"/>
        <item m="1" x="2071"/>
        <item m="1" x="2295"/>
        <item m="1" x="191"/>
        <item m="1" x="385"/>
        <item m="1" x="538"/>
        <item m="1" x="770"/>
        <item m="1" x="1002"/>
        <item m="1" x="1231"/>
        <item m="1" x="1460"/>
        <item m="1" x="1688"/>
        <item m="1" x="1917"/>
        <item m="1" x="2141"/>
        <item m="1" x="38"/>
        <item m="1" x="253"/>
        <item m="1" x="649"/>
        <item m="1" x="881"/>
        <item m="1" x="1111"/>
        <item m="1" x="1339"/>
        <item m="1" x="1568"/>
        <item m="1" x="1797"/>
        <item m="1" x="2026"/>
        <item m="1" x="2250"/>
        <item m="1" x="146"/>
        <item m="1" x="341"/>
        <item m="1" x="494"/>
        <item m="1" x="713"/>
        <item m="1" x="944"/>
        <item m="1" x="1174"/>
        <item m="1" x="1403"/>
        <item m="1" x="1631"/>
        <item m="1" x="1860"/>
        <item m="1" x="2089"/>
        <item m="1" x="2313"/>
        <item m="1" x="209"/>
        <item m="1" x="396"/>
        <item m="1" x="549"/>
        <item m="1" x="781"/>
        <item m="1" x="1013"/>
        <item m="1" x="1242"/>
        <item m="1" x="1471"/>
        <item m="1" x="1699"/>
        <item m="1" x="1928"/>
        <item m="1" x="2152"/>
        <item m="1" x="48"/>
        <item m="1" x="675"/>
        <item m="1" x="907"/>
        <item m="1" x="1137"/>
        <item m="1" x="1365"/>
        <item m="1" x="1594"/>
        <item m="1" x="1823"/>
        <item m="1" x="2052"/>
        <item m="1" x="2276"/>
        <item m="1" x="172"/>
        <item m="1" x="367"/>
        <item m="1" x="520"/>
        <item m="1" x="752"/>
        <item m="1" x="984"/>
        <item m="1" x="1213"/>
        <item m="1" x="1442"/>
        <item m="1" x="1670"/>
        <item m="1" x="1899"/>
        <item m="1" x="2124"/>
        <item m="1" x="2346"/>
        <item m="1" x="243"/>
        <item m="1" x="422"/>
        <item m="1" x="575"/>
        <item m="1" x="807"/>
        <item m="1" x="1039"/>
        <item m="1" x="1269"/>
        <item m="1" x="1497"/>
        <item m="1" x="1726"/>
        <item m="1" x="1954"/>
        <item m="1" x="2178"/>
        <item m="1" x="74"/>
        <item m="1" x="283"/>
        <item m="1" x="689"/>
        <item m="1" x="920"/>
        <item m="1" x="1150"/>
        <item m="1" x="1379"/>
        <item m="1" x="1607"/>
        <item m="1" x="1836"/>
        <item m="1" x="2065"/>
        <item m="1" x="2289"/>
        <item m="1" x="185"/>
        <item m="1" x="380"/>
        <item m="1" x="533"/>
        <item m="1" x="765"/>
        <item m="1" x="997"/>
        <item m="1" x="1226"/>
        <item m="1" x="1455"/>
        <item m="1" x="1683"/>
        <item m="1" x="1912"/>
        <item m="1" x="2136"/>
        <item m="1" x="33"/>
        <item m="1" x="248"/>
        <item m="1" x="428"/>
        <item m="1" x="587"/>
        <item m="1" x="821"/>
        <item m="1" x="1053"/>
        <item m="1" x="1283"/>
        <item m="1" x="1511"/>
        <item m="1" x="1740"/>
        <item m="1" x="1968"/>
        <item m="1" x="2192"/>
        <item m="1" x="88"/>
        <item m="1" x="708"/>
        <item m="1" x="939"/>
        <item m="1" x="1169"/>
        <item m="1" x="1398"/>
        <item m="1" x="1626"/>
        <item m="1" x="1855"/>
        <item m="1" x="2084"/>
        <item m="1" x="2308"/>
        <item m="1" x="204"/>
        <item m="1" x="391"/>
        <item m="1" x="544"/>
        <item m="1" x="776"/>
        <item m="1" x="1008"/>
        <item m="1" x="1237"/>
        <item m="1" x="1466"/>
        <item m="1" x="1694"/>
        <item m="1" x="1923"/>
        <item m="1" x="2147"/>
        <item m="1" x="44"/>
        <item m="1" x="258"/>
        <item m="1" x="434"/>
        <item m="1" x="600"/>
        <item m="1" x="833"/>
        <item m="1" x="1065"/>
        <item m="1" x="1295"/>
        <item m="1" x="1523"/>
        <item m="1" x="1752"/>
        <item m="1" x="1980"/>
        <item m="1" x="2204"/>
        <item m="1" x="100"/>
        <item m="1" x="303"/>
        <item m="1" x="725"/>
        <item m="1" x="957"/>
        <item m="1" x="1187"/>
        <item m="1" x="1416"/>
        <item m="1" x="1643"/>
        <item m="1" x="1872"/>
        <item m="1" x="2097"/>
        <item m="1" x="2320"/>
        <item m="1" x="216"/>
        <item m="1" x="403"/>
        <item m="1" x="556"/>
        <item m="1" x="787"/>
        <item m="1" x="1019"/>
        <item m="1" x="1249"/>
        <item m="1" x="1478"/>
        <item m="1" x="1706"/>
        <item m="1" x="1935"/>
        <item m="1" x="2159"/>
        <item m="1" x="54"/>
        <item m="1" x="263"/>
        <item m="1" x="440"/>
        <item m="1" x="614"/>
        <item m="1" x="847"/>
        <item m="1" x="1079"/>
        <item m="1" x="1308"/>
        <item m="1" x="1535"/>
        <item m="1" x="1764"/>
        <item m="1" x="1993"/>
        <item m="1" x="2217"/>
        <item m="1" x="113"/>
        <item m="1" x="746"/>
        <item m="1" x="978"/>
        <item m="1" x="1207"/>
        <item m="1" x="1436"/>
        <item m="1" x="1664"/>
        <item m="1" x="1893"/>
        <item m="1" x="2118"/>
        <item m="1" x="2340"/>
        <item m="1" x="237"/>
        <item m="1" x="416"/>
        <item m="1" x="569"/>
        <item m="1" x="801"/>
        <item m="1" x="1033"/>
        <item m="1" x="1263"/>
        <item m="1" x="1491"/>
        <item m="1" x="1720"/>
        <item m="1" x="1948"/>
        <item m="1" x="2172"/>
        <item m="1" x="68"/>
        <item m="1" x="277"/>
        <item m="1" x="447"/>
        <item m="1" x="628"/>
        <item m="1" x="861"/>
        <item m="1" x="1092"/>
        <item m="1" x="1320"/>
        <item m="1" x="1549"/>
        <item m="1" x="1778"/>
        <item m="1" x="2007"/>
        <item m="1" x="2231"/>
        <item m="1" x="127"/>
        <item m="1" x="581"/>
        <item m="1" x="815"/>
        <item m="1" x="1047"/>
        <item m="1" x="1277"/>
        <item m="1" x="1505"/>
        <item m="1" x="1734"/>
        <item m="1" x="1962"/>
        <item m="1" x="2186"/>
        <item m="1" x="82"/>
        <item m="1" x="291"/>
        <item m="1" x="455"/>
        <item m="1" x="643"/>
        <item m="1" x="875"/>
        <item m="1" x="1105"/>
        <item m="1" x="1333"/>
        <item m="1" x="1562"/>
        <item m="1" x="1791"/>
        <item m="1" x="2020"/>
        <item m="1" x="2244"/>
        <item m="1" x="140"/>
        <item m="1" x="335"/>
        <item m="1" x="488"/>
        <item m="1" x="702"/>
        <item m="1" x="933"/>
        <item m="1" x="1163"/>
        <item m="1" x="1392"/>
        <item m="1" x="1620"/>
        <item m="1" x="1849"/>
        <item m="1" x="2078"/>
        <item m="1" x="2302"/>
        <item m="1" x="198"/>
        <item m="1" x="594"/>
        <item m="1" x="827"/>
        <item m="1" x="1059"/>
        <item m="1" x="1289"/>
        <item m="1" x="1517"/>
        <item m="1" x="1746"/>
        <item m="1" x="1974"/>
        <item m="1" x="2198"/>
        <item m="1" x="94"/>
        <item m="1" x="297"/>
        <item m="1" x="461"/>
        <item m="1" x="655"/>
        <item m="1" x="887"/>
        <item m="1" x="1117"/>
        <item m="1" x="1345"/>
        <item m="1" x="1574"/>
        <item m="1" x="1803"/>
        <item m="1" x="2032"/>
        <item m="1" x="2256"/>
        <item m="1" x="152"/>
        <item m="1" x="347"/>
        <item m="1" x="500"/>
        <item m="1" x="719"/>
        <item m="1" x="950"/>
        <item m="1" x="1180"/>
        <item m="1" x="1409"/>
        <item m="1" x="1637"/>
        <item m="1" x="1866"/>
        <item m="1" x="661"/>
        <item m="1" x="893"/>
        <item m="1" x="1123"/>
        <item m="1" x="1351"/>
        <item m="1" x="1580"/>
        <item m="1" x="1809"/>
        <item m="1" x="2038"/>
        <item m="1" x="2262"/>
        <item m="1" x="158"/>
        <item m="1" x="353"/>
        <item m="1" x="506"/>
        <item m="1" x="730"/>
        <item m="1" x="962"/>
        <item m="1" x="1192"/>
        <item m="1" x="1421"/>
        <item m="1" x="1648"/>
        <item m="1" x="1877"/>
        <item m="1" x="2102"/>
        <item m="1" x="2325"/>
        <item m="1" x="221"/>
        <item m="1" x="408"/>
        <item m="1" x="561"/>
        <item m="1" x="792"/>
        <item m="1" x="1024"/>
        <item m="1" x="1254"/>
        <item m="1" x="1483"/>
        <item m="1" x="1711"/>
        <item m="1" x="1940"/>
        <item m="1" x="2164"/>
        <item m="1" x="59"/>
        <item m="1" x="268"/>
        <item m="1" x="677"/>
        <item m="1" x="747"/>
        <item m="1" x="979"/>
        <item m="1" x="1208"/>
        <item m="1" x="1437"/>
        <item m="1" x="1665"/>
        <item m="1" x="1894"/>
        <item m="1" x="2119"/>
        <item m="1" x="2341"/>
        <item m="1" x="238"/>
        <item m="1" x="417"/>
        <item m="1" x="570"/>
        <item m="1" x="802"/>
        <item m="1" x="1034"/>
        <item m="1" x="1264"/>
        <item m="1" x="1492"/>
        <item m="1" x="1721"/>
        <item m="1" x="1949"/>
        <item m="1" x="2173"/>
        <item m="1" x="69"/>
        <item m="1" x="278"/>
        <item m="1" x="448"/>
        <item m="1" x="629"/>
        <item m="1" x="862"/>
        <item m="1" x="1093"/>
        <item m="1" x="1321"/>
        <item m="1" x="1550"/>
        <item m="1" x="1779"/>
        <item m="1" x="2008"/>
        <item m="1" x="2232"/>
        <item m="1" x="128"/>
        <item m="1" x="323"/>
        <item m="1" x="582"/>
        <item m="1" x="816"/>
        <item m="1" x="1048"/>
        <item m="1" x="1278"/>
        <item m="1" x="1506"/>
        <item m="1" x="1735"/>
        <item m="1" x="1963"/>
        <item m="1" x="2187"/>
        <item m="1" x="83"/>
        <item m="1" x="292"/>
        <item m="1" x="456"/>
        <item m="1" x="644"/>
        <item m="1" x="876"/>
        <item m="1" x="1106"/>
        <item m="1" x="1334"/>
        <item m="1" x="1563"/>
        <item m="1" x="1792"/>
        <item m="1" x="2021"/>
        <item m="1" x="2245"/>
        <item m="1" x="141"/>
        <item m="1" x="336"/>
        <item m="1" x="489"/>
        <item m="1" x="703"/>
        <item m="1" x="934"/>
        <item m="1" x="1164"/>
        <item m="1" x="1393"/>
        <item m="1" x="1621"/>
        <item m="1" x="1850"/>
        <item m="1" x="2079"/>
        <item m="1" x="2303"/>
        <item m="1" x="199"/>
        <item m="1" x="595"/>
        <item m="1" x="828"/>
        <item m="1" x="1060"/>
        <item m="1" x="1290"/>
        <item m="1" x="1518"/>
        <item m="1" x="1747"/>
        <item m="1" x="1975"/>
        <item m="1" x="2199"/>
        <item m="1" x="95"/>
        <item m="1" x="298"/>
        <item m="1" x="462"/>
        <item m="1" x="656"/>
        <item m="1" x="888"/>
        <item m="1" x="1118"/>
        <item m="1" x="1346"/>
        <item m="1" x="1575"/>
        <item m="1" x="1804"/>
        <item m="1" x="2033"/>
        <item m="1" x="2257"/>
        <item m="1" x="153"/>
        <item m="1" x="348"/>
        <item m="1" x="501"/>
        <item m="1" x="720"/>
        <item m="1" x="951"/>
        <item m="1" x="1181"/>
        <item m="1" x="1410"/>
        <item m="1" x="1638"/>
        <item m="1" x="1867"/>
        <item m="1" x="607"/>
        <item m="1" x="840"/>
        <item m="1" x="1072"/>
        <item m="1" x="1301"/>
        <item m="1" x="1529"/>
        <item m="1" x="1758"/>
        <item m="1" x="1986"/>
        <item m="1" x="2210"/>
        <item m="1" x="106"/>
        <item m="1" x="309"/>
        <item m="1" x="468"/>
        <item m="1" x="668"/>
        <item m="1" x="900"/>
        <item m="1" x="1130"/>
        <item m="1" x="1358"/>
        <item m="1" x="1587"/>
        <item m="1" x="1816"/>
        <item m="1" x="2045"/>
        <item m="1" x="2269"/>
        <item m="1" x="165"/>
        <item m="1" x="360"/>
        <item m="1" x="513"/>
        <item m="1" x="737"/>
        <item m="1" x="969"/>
        <item m="1" x="1199"/>
        <item m="1" x="1428"/>
        <item m="1" x="1655"/>
        <item m="1" x="1884"/>
        <item m="1" x="2109"/>
        <item m="1" x="2332"/>
        <item m="1" x="228"/>
        <item m="1" x="620"/>
        <item m="1" x="853"/>
        <item m="1" x="1085"/>
        <item m="1" x="1314"/>
        <item m="1" x="1541"/>
        <item m="1" x="1770"/>
        <item m="1" x="1999"/>
        <item m="1" x="2223"/>
        <item m="1" x="119"/>
        <item m="1" x="316"/>
        <item m="1" x="475"/>
        <item m="1" x="683"/>
        <item m="1" x="914"/>
        <item m="1" x="1144"/>
        <item m="1" x="1373"/>
        <item m="1" x="1601"/>
        <item m="1" x="1830"/>
        <item m="1" x="2059"/>
        <item m="1" x="2283"/>
        <item m="1" x="179"/>
        <item m="1" x="374"/>
        <item m="1" x="527"/>
        <item m="1" x="759"/>
        <item m="1" x="991"/>
        <item m="1" x="1220"/>
        <item m="1" x="1449"/>
        <item m="1" x="1677"/>
        <item m="1" x="1906"/>
        <item m="1" x="2131"/>
        <item m="1" x="2353"/>
        <item m="1" x="637"/>
        <item m="1" x="870"/>
        <item m="1" x="1100"/>
        <item m="1" x="1328"/>
        <item m="1" x="1557"/>
        <item m="1" x="1786"/>
        <item m="1" x="2015"/>
        <item m="1" x="2239"/>
        <item m="1" x="135"/>
        <item m="1" x="330"/>
        <item m="1" x="483"/>
        <item m="1" x="697"/>
        <item m="1" x="928"/>
        <item m="1" x="1158"/>
        <item m="1" x="1387"/>
        <item m="1" x="1615"/>
        <item m="1" x="1844"/>
        <item m="1" x="2073"/>
        <item m="1" x="2297"/>
        <item m="1" x="193"/>
        <item m="1" x="386"/>
        <item m="1" x="539"/>
        <item m="1" x="771"/>
        <item m="1" x="1003"/>
        <item m="1" x="1232"/>
        <item m="1" x="1461"/>
        <item m="1" x="1689"/>
        <item m="1" x="1918"/>
        <item m="1" x="2142"/>
        <item m="1" x="39"/>
        <item m="1" x="651"/>
        <item m="1" x="883"/>
        <item m="1" x="1113"/>
        <item m="1" x="1341"/>
        <item m="1" x="1570"/>
        <item m="1" x="1799"/>
        <item m="1" x="2028"/>
        <item m="1" x="2252"/>
        <item m="1" x="148"/>
        <item m="1" x="343"/>
        <item m="1" x="496"/>
        <item m="1" x="715"/>
        <item m="1" x="946"/>
        <item m="1" x="1176"/>
        <item m="1" x="1405"/>
        <item m="1" x="1633"/>
        <item m="1" x="1862"/>
        <item m="1" x="2090"/>
        <item m="1" x="2314"/>
        <item m="1" x="210"/>
        <item m="1" x="397"/>
        <item m="1" x="550"/>
        <item m="1" x="782"/>
        <item m="1" x="1014"/>
        <item m="1" x="1243"/>
        <item m="1" x="1472"/>
        <item m="1" x="1700"/>
        <item m="1" x="1929"/>
        <item m="1" x="2153"/>
        <item m="1" x="49"/>
        <item m="1" x="662"/>
        <item m="1" x="894"/>
        <item m="1" x="1124"/>
        <item m="1" x="1352"/>
        <item m="1" x="1581"/>
        <item m="1" x="1810"/>
        <item m="1" x="2039"/>
        <item m="1" x="2263"/>
        <item m="1" x="159"/>
        <item m="1" x="354"/>
        <item m="1" x="507"/>
        <item m="1" x="731"/>
        <item m="1" x="963"/>
        <item m="1" x="1193"/>
        <item m="1" x="1422"/>
        <item m="1" x="1649"/>
        <item m="1" x="1878"/>
        <item m="1" x="2103"/>
        <item m="1" x="2326"/>
        <item m="1" x="222"/>
        <item m="1" x="409"/>
        <item m="1" x="562"/>
        <item m="1" x="793"/>
        <item m="1" x="1025"/>
        <item m="1" x="1255"/>
        <item m="1" x="1484"/>
        <item m="1" x="1712"/>
        <item m="1" x="1941"/>
        <item m="1" x="2165"/>
        <item m="1" x="60"/>
        <item m="1" x="269"/>
        <item m="1" x="678"/>
        <item m="1" x="909"/>
        <item m="1" x="1139"/>
        <item m="1" x="1367"/>
        <item m="1" x="1596"/>
        <item m="1" x="1825"/>
        <item m="1" x="2054"/>
        <item m="1" x="2278"/>
        <item m="1" x="174"/>
        <item m="1" x="369"/>
        <item m="1" x="522"/>
        <item m="1" x="754"/>
        <item m="1" x="986"/>
        <item m="1" x="1215"/>
        <item m="1" x="1444"/>
        <item m="1" x="1672"/>
        <item m="1" x="1901"/>
        <item m="1" x="2126"/>
        <item m="1" x="2348"/>
        <item m="1" x="244"/>
        <item m="1" x="423"/>
        <item m="1" x="576"/>
        <item m="1" x="808"/>
        <item m="1" x="1040"/>
        <item m="1" x="1270"/>
        <item m="1" x="1498"/>
        <item m="1" x="1727"/>
        <item m="1" x="1955"/>
        <item m="1" x="2179"/>
        <item m="1" x="75"/>
        <item m="1" x="284"/>
        <item m="1" x="691"/>
        <item m="1" x="922"/>
        <item m="1" x="1152"/>
        <item m="1" x="1381"/>
        <item m="1" x="1609"/>
        <item m="1" x="1838"/>
        <item m="1" x="2067"/>
        <item m="1" x="2291"/>
        <item m="1" x="187"/>
        <item m="1" x="382"/>
        <item m="1" x="535"/>
        <item m="1" x="767"/>
        <item m="1" x="999"/>
        <item m="1" x="1228"/>
        <item m="1" x="1457"/>
        <item m="1" x="1685"/>
        <item m="1" x="1914"/>
        <item m="1" x="2138"/>
        <item m="1" x="35"/>
        <item m="1" x="250"/>
        <item m="1" x="429"/>
        <item m="1" x="588"/>
        <item m="1" x="822"/>
        <item m="1" x="1054"/>
        <item m="1" x="1284"/>
        <item m="1" x="1512"/>
        <item m="1" x="1741"/>
        <item m="1" x="1969"/>
        <item m="1" x="2193"/>
        <item m="1" x="89"/>
        <item m="1" x="608"/>
        <item m="1" x="841"/>
        <item m="1" x="1073"/>
        <item m="1" x="1302"/>
        <item m="1" x="1530"/>
        <item m="1" x="1759"/>
        <item m="1" x="1987"/>
        <item m="1" x="2211"/>
        <item m="1" x="107"/>
        <item m="1" x="310"/>
        <item m="1" x="469"/>
        <item m="1" x="669"/>
        <item m="1" x="901"/>
        <item m="1" x="1131"/>
        <item m="1" x="1359"/>
        <item m="1" x="1588"/>
        <item m="1" x="1817"/>
        <item m="1" x="2046"/>
        <item m="1" x="2270"/>
        <item m="1" x="166"/>
        <item m="1" x="361"/>
        <item m="1" x="514"/>
        <item m="1" x="738"/>
        <item m="1" x="970"/>
        <item m="1" x="1200"/>
        <item m="1" x="1429"/>
        <item m="1" x="1656"/>
        <item m="1" x="1885"/>
        <item m="1" x="2110"/>
        <item m="1" x="2333"/>
        <item m="1" x="229"/>
        <item m="1" x="621"/>
        <item m="1" x="854"/>
        <item m="1" x="1086"/>
        <item m="1" x="1315"/>
        <item m="1" x="1542"/>
        <item m="1" x="1771"/>
        <item m="1" x="2000"/>
        <item m="1" x="2224"/>
        <item m="1" x="120"/>
        <item m="1" x="317"/>
        <item m="1" x="476"/>
        <item m="1" x="684"/>
        <item m="1" x="915"/>
        <item m="1" x="1145"/>
        <item m="1" x="1374"/>
        <item m="1" x="1602"/>
        <item m="1" x="1831"/>
        <item m="1" x="2060"/>
        <item m="1" x="2284"/>
        <item m="1" x="180"/>
        <item m="1" x="375"/>
        <item m="1" x="528"/>
        <item m="1" x="760"/>
        <item m="1" x="992"/>
        <item m="1" x="1221"/>
        <item m="1" x="1450"/>
        <item m="1" x="1678"/>
        <item m="1" x="1907"/>
        <item m="1" x="2132"/>
        <item m="1" x="2354"/>
        <item m="1" x="639"/>
        <item m="1" x="872"/>
        <item m="1" x="1102"/>
        <item m="1" x="1330"/>
        <item m="1" x="1559"/>
        <item m="1" x="1788"/>
        <item m="1" x="2017"/>
        <item m="1" x="2241"/>
        <item m="1" x="137"/>
        <item m="1" x="332"/>
        <item m="1" x="485"/>
        <item m="1" x="699"/>
        <item m="1" x="930"/>
        <item m="1" x="1160"/>
        <item m="1" x="1389"/>
        <item m="1" x="1617"/>
        <item m="1" x="1846"/>
        <item m="1" x="2075"/>
        <item m="1" x="2299"/>
        <item m="1" x="195"/>
        <item m="1" x="387"/>
        <item m="1" x="540"/>
        <item m="1" x="772"/>
        <item m="1" x="1004"/>
        <item m="1" x="1233"/>
        <item m="1" x="1462"/>
        <item m="1" x="1690"/>
        <item m="1" x="1919"/>
        <item m="1" x="2143"/>
        <item m="1" x="40"/>
        <item m="1" x="254"/>
        <item m="1" x="653"/>
        <item m="1" x="885"/>
        <item m="1" x="1115"/>
        <item m="1" x="1343"/>
        <item m="1" x="1572"/>
        <item m="1" x="1801"/>
        <item m="1" x="2030"/>
        <item m="1" x="2254"/>
        <item m="1" x="150"/>
        <item m="1" x="345"/>
        <item m="1" x="498"/>
        <item m="1" x="717"/>
        <item m="1" x="948"/>
        <item m="1" x="1178"/>
        <item m="1" x="1407"/>
        <item m="1" x="1635"/>
        <item m="1" x="1864"/>
        <item m="1" x="2091"/>
        <item m="1" x="2315"/>
        <item m="1" x="211"/>
        <item m="1" x="398"/>
        <item m="1" x="551"/>
        <item m="1" x="783"/>
        <item m="1" x="1015"/>
        <item m="1" x="1244"/>
        <item m="1" x="1473"/>
        <item m="1" x="1701"/>
        <item m="1" x="1930"/>
        <item m="1" x="2154"/>
        <item m="1" x="50"/>
        <item m="1" x="664"/>
        <item m="1" x="896"/>
        <item m="1" x="1126"/>
        <item m="1" x="1354"/>
        <item m="1" x="1583"/>
        <item m="1" x="1812"/>
        <item m="1" x="2041"/>
        <item m="1" x="2265"/>
        <item m="1" x="161"/>
        <item m="1" x="356"/>
        <item m="1" x="509"/>
        <item m="1" x="733"/>
        <item m="1" x="965"/>
        <item m="1" x="1195"/>
        <item m="1" x="1424"/>
        <item m="1" x="1651"/>
        <item m="1" x="1880"/>
        <item m="1" x="2105"/>
        <item m="1" x="2328"/>
        <item m="1" x="224"/>
        <item m="1" x="410"/>
        <item m="1" x="563"/>
        <item m="1" x="794"/>
        <item m="1" x="1026"/>
        <item m="1" x="1256"/>
        <item m="1" x="1485"/>
        <item m="1" x="1713"/>
        <item m="1" x="1942"/>
        <item m="1" x="2166"/>
        <item m="1" x="61"/>
        <item m="1" x="270"/>
        <item m="1" x="679"/>
        <item m="1" x="910"/>
        <item m="1" x="1140"/>
        <item m="1" x="1369"/>
        <item m="1" x="1597"/>
        <item m="1" x="1826"/>
        <item m="1" x="2055"/>
        <item m="1" x="2279"/>
        <item m="1" x="175"/>
        <item m="1" x="370"/>
        <item m="1" x="523"/>
        <item m="1" x="755"/>
        <item m="1" x="987"/>
        <item m="1" x="1216"/>
        <item m="1" x="1445"/>
        <item m="1" x="1673"/>
        <item m="1" x="1902"/>
        <item m="1" x="2127"/>
        <item m="1" x="2349"/>
        <item m="1" x="245"/>
        <item m="1" x="424"/>
        <item m="1" x="577"/>
        <item m="1" x="809"/>
        <item m="1" x="1041"/>
        <item m="1" x="1271"/>
        <item m="1" x="1499"/>
        <item m="1" x="1728"/>
        <item m="1" x="1956"/>
        <item m="1" x="2180"/>
        <item m="1" x="76"/>
        <item m="1" x="285"/>
        <item m="1" x="692"/>
        <item m="1" x="923"/>
        <item m="1" x="1153"/>
        <item m="1" x="1382"/>
        <item m="1" x="1610"/>
        <item m="1" x="1839"/>
        <item m="1" x="2068"/>
        <item m="1" x="2292"/>
        <item m="1" x="188"/>
        <item m="1" x="383"/>
        <item m="1" x="536"/>
        <item m="1" x="768"/>
        <item m="1" x="1000"/>
        <item m="1" x="1229"/>
        <item m="1" x="1458"/>
        <item m="1" x="1686"/>
        <item m="1" x="1915"/>
        <item m="1" x="2139"/>
        <item m="1" x="36"/>
        <item m="1" x="251"/>
        <item m="1" x="430"/>
        <item m="1" x="589"/>
        <item m="1" x="823"/>
        <item m="1" x="1055"/>
        <item m="1" x="1285"/>
        <item m="1" x="1513"/>
        <item m="1" x="1742"/>
        <item m="1" x="1970"/>
        <item m="1" x="2194"/>
        <item m="1" x="90"/>
        <item m="1" x="710"/>
        <item m="1" x="941"/>
        <item m="1" x="1171"/>
        <item m="1" x="1400"/>
        <item m="1" x="1628"/>
        <item m="1" x="1857"/>
        <item m="1" x="2086"/>
        <item m="1" x="2310"/>
        <item m="1" x="206"/>
        <item m="1" x="393"/>
        <item m="1" x="546"/>
        <item m="1" x="778"/>
        <item m="1" x="1010"/>
        <item m="1" x="1239"/>
        <item m="1" x="1468"/>
        <item m="1" x="1696"/>
        <item m="1" x="1925"/>
        <item m="1" x="2149"/>
        <item m="1" x="45"/>
        <item m="1" x="259"/>
        <item m="1" x="435"/>
        <item m="1" x="601"/>
        <item m="1" x="834"/>
        <item m="1" x="1066"/>
        <item m="1" x="1296"/>
        <item m="1" x="1524"/>
        <item m="1" x="1753"/>
        <item m="1" x="1981"/>
        <item m="1" x="2205"/>
        <item m="1" x="101"/>
        <item m="1" x="304"/>
        <item m="1" x="727"/>
        <item m="1" x="959"/>
        <item m="1" x="1189"/>
        <item m="1" x="1418"/>
        <item m="1" x="1645"/>
        <item m="1" x="1874"/>
        <item m="1" x="2099"/>
        <item m="1" x="2322"/>
        <item m="1" x="218"/>
        <item m="1" x="405"/>
        <item m="1" x="558"/>
        <item m="1" x="789"/>
        <item m="1" x="1021"/>
        <item m="1" x="1251"/>
        <item m="1" x="1480"/>
        <item m="1" x="1708"/>
        <item m="1" x="1937"/>
        <item m="1" x="2161"/>
        <item m="1" x="56"/>
        <item m="1" x="265"/>
        <item m="1" x="441"/>
        <item m="1" x="615"/>
        <item m="1" x="848"/>
        <item m="1" x="1080"/>
        <item m="1" x="1309"/>
        <item m="1" x="1536"/>
        <item m="1" x="1765"/>
        <item m="1" x="1994"/>
        <item m="1" x="2218"/>
        <item m="1" x="114"/>
        <item m="1" x="749"/>
        <item m="1" x="981"/>
        <item m="1" x="1210"/>
        <item m="1" x="1439"/>
        <item m="1" x="1667"/>
        <item m="1" x="1896"/>
        <item m="1" x="2121"/>
        <item m="1" x="2343"/>
        <item m="1" x="240"/>
        <item m="1" x="419"/>
        <item m="1" x="572"/>
        <item m="1" x="804"/>
        <item m="1" x="1036"/>
        <item m="1" x="1266"/>
        <item m="1" x="1494"/>
        <item m="1" x="1723"/>
        <item m="1" x="1951"/>
        <item m="1" x="2175"/>
        <item m="1" x="71"/>
        <item m="1" x="280"/>
        <item m="1" x="449"/>
        <item m="1" x="630"/>
        <item m="1" x="863"/>
        <item m="1" x="1094"/>
        <item m="1" x="1322"/>
        <item m="1" x="1551"/>
        <item m="1" x="1780"/>
        <item m="1" x="2009"/>
        <item m="1" x="2233"/>
        <item m="1" x="129"/>
        <item m="1" x="324"/>
        <item m="1" x="583"/>
        <item m="1" x="817"/>
        <item m="1" x="1049"/>
        <item m="1" x="1279"/>
        <item m="1" x="1507"/>
        <item m="1" x="1736"/>
        <item m="1" x="1964"/>
        <item m="1" x="2188"/>
        <item m="1" x="84"/>
        <item m="1" x="293"/>
        <item m="1" x="457"/>
        <item m="1" x="645"/>
        <item m="1" x="877"/>
        <item m="1" x="1107"/>
        <item m="1" x="1335"/>
        <item m="1" x="1564"/>
        <item m="1" x="1793"/>
        <item m="1" x="2022"/>
        <item m="1" x="2246"/>
        <item m="1" x="142"/>
        <item m="1" x="337"/>
        <item m="1" x="490"/>
        <item m="1" x="704"/>
        <item m="1" x="935"/>
        <item m="1" x="1165"/>
        <item m="1" x="1394"/>
        <item m="1" x="1622"/>
        <item m="1" x="1851"/>
        <item m="1" x="2080"/>
        <item m="1" x="2304"/>
        <item m="1" x="200"/>
        <item m="1" x="596"/>
        <item m="1" x="829"/>
        <item m="1" x="1061"/>
        <item m="1" x="1291"/>
        <item m="1" x="1519"/>
        <item m="1" x="1748"/>
        <item m="1" x="1976"/>
        <item m="1" x="2200"/>
        <item m="1" x="96"/>
        <item m="1" x="299"/>
        <item m="1" x="463"/>
        <item m="1" x="657"/>
        <item m="1" x="889"/>
        <item m="1" x="1119"/>
        <item m="1" x="1347"/>
        <item m="1" x="1576"/>
        <item m="1" x="1805"/>
        <item m="1" x="2034"/>
        <item m="1" x="2258"/>
        <item m="1" x="154"/>
        <item m="1" x="349"/>
        <item m="1" x="502"/>
        <item m="1" x="721"/>
        <item m="1" x="952"/>
        <item m="1" x="1182"/>
        <item m="1" x="1411"/>
        <item m="1" x="1639"/>
        <item m="1" x="1868"/>
        <item m="1" x="2093"/>
        <item m="1" x="609"/>
        <item m="1" x="842"/>
        <item m="1" x="1074"/>
        <item m="1" x="1303"/>
        <item m="1" x="1531"/>
        <item m="1" x="1760"/>
        <item m="1" x="1988"/>
        <item m="1" x="2212"/>
        <item m="1" x="108"/>
        <item m="1" x="311"/>
        <item m="1" x="470"/>
        <item m="1" x="670"/>
        <item m="1" x="902"/>
        <item m="1" x="1132"/>
        <item m="1" x="1360"/>
        <item m="1" x="1589"/>
        <item m="1" x="1818"/>
        <item m="1" x="2047"/>
        <item m="1" x="2271"/>
        <item m="1" x="167"/>
        <item m="1" x="362"/>
        <item m="1" x="515"/>
        <item m="1" x="739"/>
        <item m="1" x="971"/>
        <item m="1" x="1201"/>
        <item m="1" x="1430"/>
        <item m="1" x="1657"/>
        <item m="1" x="1886"/>
        <item m="1" x="2111"/>
        <item m="1" x="2334"/>
        <item m="1" x="230"/>
        <item m="1" x="622"/>
        <item m="1" x="855"/>
        <item m="1" x="1087"/>
        <item m="1" x="1316"/>
        <item m="1" x="1543"/>
        <item m="1" x="1772"/>
        <item m="1" x="2001"/>
        <item m="1" x="2225"/>
        <item m="1" x="121"/>
        <item m="1" x="318"/>
        <item m="1" x="477"/>
        <item m="1" x="685"/>
        <item m="1" x="916"/>
        <item m="1" x="1146"/>
        <item m="1" x="1375"/>
        <item m="1" x="1603"/>
        <item m="1" x="1832"/>
        <item m="1" x="2061"/>
        <item m="1" x="2285"/>
        <item m="1" x="181"/>
        <item m="1" x="376"/>
        <item m="1" x="529"/>
        <item m="1" x="761"/>
        <item m="1" x="993"/>
        <item m="1" x="1222"/>
        <item m="1" x="1451"/>
        <item m="1" x="1679"/>
        <item m="1" x="1908"/>
        <item m="1" x="2133"/>
        <item m="1" x="2355"/>
        <item m="1" x="640"/>
        <item m="1" x="873"/>
        <item m="1" x="1103"/>
        <item m="1" x="1331"/>
        <item m="1" x="1560"/>
        <item m="1" x="1789"/>
        <item m="1" x="2018"/>
        <item m="1" x="2242"/>
        <item m="1" x="138"/>
        <item m="1" x="333"/>
        <item m="1" x="486"/>
        <item m="1" x="700"/>
        <item m="1" x="931"/>
        <item m="1" x="1161"/>
        <item m="1" x="1390"/>
        <item m="1" x="1618"/>
        <item m="1" x="1847"/>
        <item m="1" x="2076"/>
        <item m="1" x="2300"/>
        <item m="1" x="196"/>
        <item m="1" x="388"/>
        <item m="1" x="541"/>
        <item m="1" x="773"/>
        <item m="1" x="1005"/>
        <item m="1" x="1234"/>
        <item m="1" x="1463"/>
        <item m="1" x="1691"/>
        <item m="1" x="1920"/>
        <item m="1" x="2144"/>
        <item m="1" x="41"/>
        <item m="1" x="255"/>
        <item m="1" x="654"/>
        <item m="1" x="886"/>
        <item m="1" x="1116"/>
        <item m="1" x="1344"/>
        <item m="1" x="1573"/>
        <item m="1" x="1802"/>
        <item m="1" x="2031"/>
        <item m="1" x="2255"/>
        <item m="1" x="151"/>
        <item m="1" x="346"/>
        <item m="1" x="499"/>
        <item m="1" x="718"/>
        <item m="1" x="949"/>
        <item m="1" x="1179"/>
        <item m="1" x="1408"/>
        <item m="1" x="1636"/>
        <item m="1" x="1865"/>
        <item m="1" x="2092"/>
        <item m="1" x="2316"/>
        <item m="1" x="212"/>
        <item m="1" x="399"/>
        <item m="1" x="552"/>
        <item m="1" x="784"/>
        <item m="1" x="1016"/>
        <item m="1" x="1245"/>
        <item m="1" x="1474"/>
        <item m="1" x="1702"/>
        <item m="1" x="1931"/>
        <item m="1" x="2155"/>
        <item m="1" x="51"/>
        <item m="1" x="666"/>
        <item m="1" x="898"/>
        <item m="1" x="1128"/>
        <item m="1" x="1356"/>
        <item m="1" x="1585"/>
        <item m="1" x="1814"/>
        <item m="1" x="2043"/>
        <item m="1" x="2267"/>
        <item m="1" x="163"/>
        <item m="1" x="358"/>
        <item m="1" x="511"/>
        <item m="1" x="735"/>
        <item m="1" x="967"/>
        <item m="1" x="1197"/>
        <item m="1" x="1426"/>
        <item m="1" x="1653"/>
        <item m="1" x="1882"/>
        <item m="1" x="2107"/>
        <item m="1" x="2330"/>
        <item m="1" x="226"/>
        <item m="1" x="411"/>
        <item m="1" x="564"/>
        <item m="1" x="795"/>
        <item m="1" x="1027"/>
        <item m="1" x="1257"/>
        <item m="1" x="1486"/>
        <item m="1" x="1714"/>
        <item m="1" x="1943"/>
        <item m="1" x="2167"/>
        <item m="1" x="62"/>
        <item m="1" x="271"/>
        <item m="1" x="681"/>
        <item m="1" x="912"/>
        <item m="1" x="1142"/>
        <item m="1" x="1371"/>
        <item m="1" x="1599"/>
        <item m="1" x="1828"/>
        <item m="1" x="2057"/>
        <item m="1" x="2281"/>
        <item m="1" x="177"/>
        <item m="1" x="372"/>
        <item m="1" x="525"/>
        <item m="1" x="757"/>
        <item m="1" x="989"/>
        <item m="1" x="1218"/>
        <item m="1" x="1447"/>
        <item m="1" x="1675"/>
        <item m="1" x="1904"/>
        <item m="1" x="2129"/>
        <item m="1" x="2351"/>
        <item m="1" x="246"/>
        <item m="1" x="425"/>
        <item m="1" x="578"/>
        <item m="1" x="810"/>
        <item m="1" x="1042"/>
        <item m="1" x="1272"/>
        <item m="1" x="1500"/>
        <item m="1" x="1729"/>
        <item m="1" x="1957"/>
        <item m="1" x="2181"/>
        <item m="1" x="77"/>
        <item m="1" x="286"/>
        <item m="1" x="693"/>
        <item m="1" x="924"/>
        <item m="1" x="1154"/>
        <item m="1" x="1383"/>
        <item m="1" x="1611"/>
        <item m="1" x="1840"/>
        <item m="1" x="2069"/>
        <item m="1" x="2293"/>
        <item m="1" x="189"/>
        <item m="1" x="384"/>
        <item m="1" x="537"/>
        <item m="1" x="769"/>
        <item m="1" x="1001"/>
        <item m="1" x="1230"/>
        <item m="1" x="1459"/>
        <item m="1" x="1687"/>
        <item m="1" x="1916"/>
        <item m="1" x="2140"/>
        <item m="1" x="37"/>
        <item m="1" x="252"/>
        <item m="1" x="431"/>
        <item m="1" x="590"/>
        <item m="1" x="824"/>
        <item m="1" x="1056"/>
        <item m="1" x="1286"/>
        <item m="1" x="1514"/>
        <item m="1" x="1743"/>
        <item m="1" x="1971"/>
        <item m="1" x="2195"/>
        <item m="1" x="91"/>
        <item m="1" x="712"/>
        <item m="1" x="943"/>
        <item m="1" x="1173"/>
        <item m="1" x="1402"/>
        <item m="1" x="1630"/>
        <item m="1" x="1859"/>
        <item m="1" x="2088"/>
        <item m="1" x="2312"/>
        <item m="1" x="208"/>
        <item m="1" x="395"/>
        <item m="1" x="548"/>
        <item m="1" x="780"/>
        <item m="1" x="1012"/>
        <item m="1" x="1241"/>
        <item m="1" x="1470"/>
        <item m="1" x="1698"/>
        <item m="1" x="1927"/>
        <item m="1" x="2151"/>
        <item m="1" x="47"/>
        <item m="1" x="260"/>
        <item m="1" x="436"/>
        <item m="1" x="602"/>
        <item m="1" x="835"/>
        <item m="1" x="1067"/>
        <item m="1" x="1297"/>
        <item m="1" x="1525"/>
        <item m="1" x="1754"/>
        <item m="1" x="1982"/>
        <item m="1" x="2206"/>
        <item m="1" x="102"/>
        <item m="1" x="305"/>
        <item m="1" x="729"/>
        <item m="1" x="961"/>
        <item m="1" x="1191"/>
        <item m="1" x="1420"/>
        <item m="1" x="1647"/>
        <item m="1" x="1876"/>
        <item m="1" x="2101"/>
        <item m="1" x="2324"/>
        <item m="1" x="220"/>
        <item m="1" x="407"/>
        <item m="1" x="560"/>
        <item m="1" x="791"/>
        <item m="1" x="1023"/>
        <item m="1" x="1253"/>
        <item m="1" x="1482"/>
        <item m="1" x="1710"/>
        <item m="1" x="1939"/>
        <item m="1" x="2163"/>
        <item m="1" x="58"/>
        <item m="1" x="267"/>
        <item m="1" x="442"/>
        <item m="1" x="616"/>
        <item m="1" x="849"/>
        <item m="1" x="1081"/>
        <item m="1" x="1310"/>
        <item m="1" x="1537"/>
        <item m="1" x="1766"/>
        <item m="1" x="1995"/>
        <item m="1" x="2219"/>
        <item m="1" x="115"/>
        <item m="1" x="751"/>
        <item m="1" x="983"/>
        <item m="1" x="1212"/>
        <item m="1" x="1441"/>
        <item m="1" x="1669"/>
        <item m="1" x="1898"/>
        <item m="1" x="2123"/>
        <item m="1" x="2345"/>
        <item m="1" x="242"/>
        <item m="1" x="421"/>
        <item m="1" x="574"/>
        <item m="1" x="806"/>
        <item m="1" x="1038"/>
        <item m="1" x="1268"/>
        <item m="1" x="1496"/>
        <item m="1" x="1725"/>
        <item m="1" x="1953"/>
        <item m="1" x="2177"/>
        <item m="1" x="73"/>
        <item m="1" x="282"/>
        <item m="1" x="450"/>
        <item m="1" x="631"/>
        <item m="1" x="864"/>
        <item m="1" x="1095"/>
        <item m="1" x="1323"/>
        <item m="1" x="1552"/>
        <item m="1" x="1781"/>
        <item m="1" x="2010"/>
        <item m="1" x="2234"/>
        <item m="1" x="130"/>
        <item m="1" x="325"/>
        <item m="1" x="584"/>
        <item m="1" x="818"/>
        <item m="1" x="1050"/>
        <item m="1" x="1280"/>
        <item m="1" x="1508"/>
        <item m="1" x="1737"/>
        <item m="1" x="1965"/>
        <item m="1" x="2189"/>
        <item m="1" x="85"/>
        <item m="1" x="294"/>
        <item m="1" x="458"/>
        <item m="1" x="646"/>
        <item m="1" x="878"/>
        <item m="1" x="1108"/>
        <item m="1" x="1336"/>
        <item m="1" x="1565"/>
        <item m="1" x="1794"/>
        <item m="1" x="2023"/>
        <item m="1" x="2247"/>
        <item m="1" x="143"/>
        <item m="1" x="338"/>
        <item m="1" x="491"/>
        <item m="1" x="705"/>
        <item m="1" x="936"/>
        <item m="1" x="1166"/>
        <item m="1" x="1395"/>
        <item m="1" x="1623"/>
        <item m="1" x="1852"/>
        <item m="1" x="2081"/>
        <item m="1" x="2305"/>
        <item m="1" x="201"/>
        <item m="1" x="597"/>
        <item m="1" x="830"/>
        <item m="1" x="1062"/>
        <item m="1" x="1292"/>
        <item m="1" x="1520"/>
        <item m="1" x="1749"/>
        <item m="1" x="1977"/>
        <item m="1" x="2201"/>
        <item m="1" x="97"/>
        <item m="1" x="300"/>
        <item m="1" x="464"/>
        <item m="1" x="658"/>
        <item m="1" x="890"/>
        <item m="1" x="1120"/>
        <item m="1" x="1348"/>
        <item m="1" x="1577"/>
        <item m="1" x="1806"/>
        <item m="1" x="2035"/>
        <item m="1" x="2259"/>
        <item m="1" x="155"/>
        <item m="1" x="350"/>
        <item m="1" x="503"/>
        <item m="1" x="722"/>
        <item m="1" x="953"/>
        <item m="1" x="1183"/>
        <item m="1" x="1412"/>
        <item m="1" x="1640"/>
        <item m="1" x="1869"/>
        <item m="1" x="611"/>
        <item m="1" x="844"/>
        <item m="1" x="1076"/>
        <item m="1" x="1305"/>
        <item m="1" x="1532"/>
        <item m="1" x="1761"/>
        <item m="1" x="1990"/>
        <item m="1" x="2214"/>
        <item m="1" x="110"/>
        <item m="1" x="312"/>
        <item m="1" x="471"/>
        <item m="1" x="671"/>
        <item m="1" x="903"/>
        <item m="1" x="1133"/>
        <item m="1" x="1361"/>
        <item m="1" x="1590"/>
        <item m="1" x="1819"/>
        <item m="1" x="2048"/>
        <item m="1" x="2272"/>
        <item m="1" x="168"/>
        <item m="1" x="363"/>
        <item m="1" x="516"/>
        <item m="1" x="740"/>
        <item m="1" x="972"/>
        <item m="1" x="1202"/>
        <item m="1" x="1431"/>
        <item m="1" x="1658"/>
        <item m="1" x="1887"/>
        <item m="1" x="2112"/>
        <item m="1" x="2335"/>
        <item m="1" x="231"/>
        <item m="1" x="624"/>
        <item m="1" x="857"/>
        <item m="1" x="1088"/>
        <item m="1" x="1317"/>
        <item m="1" x="1545"/>
        <item m="1" x="1774"/>
        <item m="1" x="2003"/>
        <item m="1" x="2227"/>
        <item m="1" x="123"/>
        <item m="1" x="319"/>
        <item m="1" x="478"/>
        <item m="1" x="686"/>
        <item m="1" x="917"/>
        <item m="1" x="1147"/>
        <item m="1" x="1376"/>
        <item m="1" x="1604"/>
        <item m="1" x="1833"/>
        <item m="1" x="2062"/>
        <item m="1" x="2286"/>
        <item m="1" x="182"/>
        <item m="1" x="377"/>
        <item m="1" x="530"/>
        <item m="1" x="762"/>
        <item m="1" x="994"/>
        <item m="1" x="1223"/>
        <item m="1" x="1452"/>
        <item m="1" x="1680"/>
        <item m="1" x="1909"/>
        <item m="1" x="2134"/>
        <item m="1" x="2356"/>
        <item m="1" x="6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outline="0" subtotalTop="0" showAll="0" includeNewItemsInFilter="1" defaultSubtotal="0"/>
    <pivotField compact="0" outline="0" showAll="0" defaultSubtotal="0"/>
    <pivotField dataField="1" compact="0" numFmtId="165" outline="0" subtotalTop="0" showAll="0" includeNewItemsInFilter="1"/>
  </pivotFields>
  <rowFields count="1">
    <field x="0"/>
  </rowFields>
  <rowItems count="32"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 t="grand">
      <x/>
    </i>
  </rowItems>
  <colItems count="1">
    <i/>
  </colItems>
  <dataFields count="1">
    <dataField name="Suma de Monto" fld="3" baseField="0" baseItem="0" numFmtId="3"/>
  </dataFields>
  <formats count="3">
    <format dxfId="20">
      <pivotArea type="all" dataOnly="0" outline="0" fieldPosition="0"/>
    </format>
    <format dxfId="19">
      <pivotArea outline="0" fieldPosition="0"/>
    </format>
    <format dxfId="18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 dinámica8" cacheId="15" dataOnRows="1" applyNumberFormats="0" applyBorderFormats="0" applyFontFormats="0" applyPatternFormats="0" applyAlignmentFormats="0" applyWidthHeightFormats="1" dataCaption="Datos" updatedVersion="7" minRefreshableVersion="3" asteriskTotals="1" showMemberPropertyTips="0" useAutoFormatting="1" itemPrintTitles="1" createdVersion="3" indent="0" compact="0" compactData="0" gridDropZones="1">
  <location ref="J3:K36" firstHeaderRow="2" firstDataRow="2" firstDataCol="1"/>
  <pivotFields count="2">
    <pivotField axis="axisRow" compact="0" outline="0" subtotalTop="0" showAll="0" includeNewItemsInFilter="1">
      <items count="2410">
        <item m="1" x="590"/>
        <item h="1" x="31"/>
        <item m="1" x="829"/>
        <item m="1" x="1066"/>
        <item m="1" x="1302"/>
        <item m="1" x="1535"/>
        <item m="1" x="1769"/>
        <item m="1" x="2002"/>
        <item m="1" x="2230"/>
        <item m="1" x="78"/>
        <item m="1" x="291"/>
        <item m="1" x="459"/>
        <item m="1" x="649"/>
        <item m="1" x="887"/>
        <item m="1" x="1123"/>
        <item m="1" x="1357"/>
        <item m="1" x="1590"/>
        <item m="1" x="1824"/>
        <item m="1" x="2058"/>
        <item m="1" x="2286"/>
        <item m="1" x="134"/>
        <item m="1" x="334"/>
        <item m="1" x="490"/>
        <item m="1" x="711"/>
        <item m="1" x="947"/>
        <item m="1" x="1183"/>
        <item m="1" x="1417"/>
        <item m="1" x="1650"/>
        <item m="1" x="1884"/>
        <item m="1" x="2117"/>
        <item m="1" x="2345"/>
        <item m="1" x="193"/>
        <item m="1" x="604"/>
        <item m="1" x="689"/>
        <item m="1" x="926"/>
        <item m="1" x="1162"/>
        <item m="1" x="1396"/>
        <item m="1" x="1629"/>
        <item m="1" x="1863"/>
        <item m="1" x="2096"/>
        <item m="1" x="2324"/>
        <item m="1" x="172"/>
        <item m="1" x="372"/>
        <item m="1" x="528"/>
        <item m="1" x="763"/>
        <item m="1" x="1000"/>
        <item m="1" x="1235"/>
        <item m="1" x="1469"/>
        <item m="1" x="1702"/>
        <item m="1" x="1936"/>
        <item m="1" x="2165"/>
        <item m="1" x="2391"/>
        <item m="1" x="240"/>
        <item m="1" x="423"/>
        <item m="1" x="579"/>
        <item m="1" x="818"/>
        <item m="1" x="1055"/>
        <item m="1" x="1291"/>
        <item m="1" x="1524"/>
        <item m="1" x="1758"/>
        <item m="1" x="1991"/>
        <item m="1" x="2219"/>
        <item m="1" x="67"/>
        <item m="1" x="280"/>
        <item m="1" x="977"/>
        <item m="1" x="1213"/>
        <item m="1" x="1447"/>
        <item m="1" x="2142"/>
        <item m="1" x="2369"/>
        <item m="1" x="217"/>
        <item m="1" x="408"/>
        <item m="1" x="564"/>
        <item m="1" x="1275"/>
        <item m="1" x="1509"/>
        <item m="1" x="1742"/>
        <item m="1" x="1976"/>
        <item m="1" x="2204"/>
        <item m="1" x="445"/>
        <item m="1" x="625"/>
        <item m="1" x="863"/>
        <item m="1" x="1100"/>
        <item m="1" x="1335"/>
        <item m="1" x="2035"/>
        <item m="1" x="2263"/>
        <item m="1" x="111"/>
        <item m="1" x="759"/>
        <item m="1" x="996"/>
        <item m="1" x="1698"/>
        <item m="1" x="1932"/>
        <item m="1" x="2161"/>
        <item m="1" x="236"/>
        <item m="1" x="814"/>
        <item m="1" x="1051"/>
        <item m="1" x="1287"/>
        <item m="1" x="1521"/>
        <item m="1" x="1754"/>
        <item m="1" x="63"/>
        <item m="1" x="276"/>
        <item m="1" x="451"/>
        <item m="1" x="638"/>
        <item m="1" x="876"/>
        <item m="1" x="1113"/>
        <item m="1" x="1348"/>
        <item m="1" x="1580"/>
        <item m="1" x="1814"/>
        <item m="1" x="2048"/>
        <item m="1" x="2276"/>
        <item m="1" x="124"/>
        <item m="1" x="325"/>
        <item m="1" x="591"/>
        <item m="1" x="830"/>
        <item m="1" x="1067"/>
        <item m="1" x="1303"/>
        <item m="1" x="1536"/>
        <item m="1" x="1770"/>
        <item m="1" x="2003"/>
        <item m="1" x="2231"/>
        <item m="1" x="79"/>
        <item m="1" x="292"/>
        <item m="1" x="460"/>
        <item m="1" x="651"/>
        <item m="1" x="889"/>
        <item m="1" x="1125"/>
        <item m="1" x="1359"/>
        <item m="1" x="1592"/>
        <item m="1" x="1826"/>
        <item m="1" x="2060"/>
        <item m="1" x="2288"/>
        <item m="1" x="136"/>
        <item m="1" x="336"/>
        <item m="1" x="492"/>
        <item m="1" x="713"/>
        <item m="1" x="949"/>
        <item m="1" x="1185"/>
        <item m="1" x="1419"/>
        <item m="1" x="1652"/>
        <item m="1" x="1886"/>
        <item m="1" x="2119"/>
        <item m="1" x="2347"/>
        <item m="1" x="195"/>
        <item m="1" x="605"/>
        <item m="1" x="844"/>
        <item m="1" x="1081"/>
        <item m="1" x="1317"/>
        <item m="1" x="1550"/>
        <item m="1" x="1784"/>
        <item m="1" x="2017"/>
        <item m="1" x="2245"/>
        <item m="1" x="93"/>
        <item m="1" x="300"/>
        <item m="1" x="468"/>
        <item m="1" x="666"/>
        <item m="1" x="903"/>
        <item m="1" x="1139"/>
        <item m="1" x="1373"/>
        <item m="1" x="1606"/>
        <item m="1" x="1840"/>
        <item m="1" x="632"/>
        <item m="1" x="870"/>
        <item m="1" x="1107"/>
        <item m="1" x="1342"/>
        <item m="1" x="1574"/>
        <item m="1" x="1808"/>
        <item m="1" x="2042"/>
        <item m="1" x="2270"/>
        <item m="1" x="118"/>
        <item m="1" x="319"/>
        <item m="1" x="482"/>
        <item m="1" x="693"/>
        <item m="1" x="930"/>
        <item m="1" x="1166"/>
        <item m="1" x="1400"/>
        <item m="1" x="1633"/>
        <item m="1" x="1867"/>
        <item m="1" x="2100"/>
        <item m="1" x="2328"/>
        <item m="1" x="176"/>
        <item m="1" x="376"/>
        <item m="1" x="532"/>
        <item m="1" x="771"/>
        <item m="1" x="1008"/>
        <item m="1" x="1243"/>
        <item m="1" x="1477"/>
        <item m="1" x="1710"/>
        <item m="1" x="1944"/>
        <item m="1" x="2173"/>
        <item m="1" x="2399"/>
        <item m="1" x="647"/>
        <item m="1" x="885"/>
        <item m="1" x="760"/>
        <item m="1" x="997"/>
        <item m="1" x="1232"/>
        <item m="1" x="1466"/>
        <item m="1" x="1699"/>
        <item m="1" x="1933"/>
        <item m="1" x="2162"/>
        <item m="1" x="2388"/>
        <item m="1" x="237"/>
        <item m="1" x="420"/>
        <item m="1" x="576"/>
        <item m="1" x="815"/>
        <item m="1" x="1052"/>
        <item m="1" x="1288"/>
        <item m="1" x="1522"/>
        <item m="1" x="1755"/>
        <item m="1" x="1988"/>
        <item m="1" x="2216"/>
        <item m="1" x="64"/>
        <item m="1" x="277"/>
        <item m="1" x="452"/>
        <item m="1" x="640"/>
        <item m="1" x="878"/>
        <item m="1" x="1115"/>
        <item m="1" x="1582"/>
        <item m="1" x="1350"/>
        <item m="1" x="1816"/>
        <item m="1" x="2050"/>
        <item m="1" x="2278"/>
        <item m="1" x="126"/>
        <item m="1" x="327"/>
        <item m="1" x="831"/>
        <item m="1" x="1068"/>
        <item m="1" x="1304"/>
        <item m="1" x="1537"/>
        <item m="1" x="1771"/>
        <item m="1" x="2004"/>
        <item m="1" x="2232"/>
        <item m="1" x="80"/>
        <item m="1" x="293"/>
        <item m="1" x="461"/>
        <item m="1" x="652"/>
        <item m="1" x="890"/>
        <item m="1" x="1126"/>
        <item m="1" x="1360"/>
        <item m="1" x="1593"/>
        <item m="1" x="1827"/>
        <item m="1" x="2061"/>
        <item m="1" x="2289"/>
        <item m="1" x="137"/>
        <item m="1" x="337"/>
        <item m="1" x="493"/>
        <item m="1" x="714"/>
        <item m="1" x="950"/>
        <item m="1" x="1186"/>
        <item m="1" x="1420"/>
        <item m="1" x="1653"/>
        <item m="1" x="1887"/>
        <item m="1" x="2120"/>
        <item m="1" x="2348"/>
        <item m="1" x="196"/>
        <item m="1" x="606"/>
        <item m="1" x="845"/>
        <item m="1" x="1082"/>
        <item m="1" x="1318"/>
        <item m="1" x="1551"/>
        <item m="1" x="1785"/>
        <item m="1" x="2018"/>
        <item m="1" x="2246"/>
        <item m="1" x="94"/>
        <item m="1" x="301"/>
        <item m="1" x="469"/>
        <item m="1" x="667"/>
        <item m="1" x="904"/>
        <item m="1" x="1140"/>
        <item m="1" x="1374"/>
        <item m="1" x="1607"/>
        <item m="1" x="1841"/>
        <item m="1" x="2074"/>
        <item m="1" x="2302"/>
        <item m="1" x="150"/>
        <item m="1" x="350"/>
        <item m="1" x="506"/>
        <item m="1" x="732"/>
        <item m="1" x="968"/>
        <item m="1" x="1204"/>
        <item m="1" x="1438"/>
        <item m="1" x="1671"/>
        <item m="1" x="1905"/>
        <item m="1" x="618"/>
        <item m="1" x="856"/>
        <item m="1" x="1093"/>
        <item m="1" x="648"/>
        <item m="1" x="886"/>
        <item m="1" x="1122"/>
        <item m="1" x="1356"/>
        <item m="1" x="1589"/>
        <item m="1" x="1823"/>
        <item m="1" x="2057"/>
        <item m="1" x="2285"/>
        <item m="1" x="133"/>
        <item m="1" x="333"/>
        <item m="1" x="489"/>
        <item m="1" x="707"/>
        <item m="1" x="943"/>
        <item m="1" x="1179"/>
        <item m="1" x="1413"/>
        <item m="1" x="1646"/>
        <item m="1" x="1880"/>
        <item m="1" x="2113"/>
        <item m="1" x="2341"/>
        <item m="1" x="189"/>
        <item m="1" x="389"/>
        <item m="1" x="545"/>
        <item m="1" x="784"/>
        <item m="1" x="1021"/>
        <item m="1" x="1256"/>
        <item m="1" x="1490"/>
        <item m="1" x="1723"/>
        <item m="1" x="1957"/>
        <item m="1" x="2185"/>
        <item m="1" x="34"/>
        <item m="1" x="253"/>
        <item m="1" x="663"/>
        <item m="1" x="900"/>
        <item m="1" x="1136"/>
        <item m="1" x="1370"/>
        <item m="1" x="1603"/>
        <item m="1" x="1837"/>
        <item m="1" x="2071"/>
        <item m="1" x="2299"/>
        <item m="1" x="147"/>
        <item m="1" x="347"/>
        <item m="1" x="503"/>
        <item m="1" x="727"/>
        <item m="1" x="963"/>
        <item m="1" x="1199"/>
        <item m="1" x="1433"/>
        <item m="1" x="1666"/>
        <item m="1" x="1900"/>
        <item m="1" x="2133"/>
        <item m="1" x="2361"/>
        <item m="1" x="209"/>
        <item m="1" x="400"/>
        <item m="1" x="556"/>
        <item m="1" x="795"/>
        <item m="1" x="1032"/>
        <item m="1" x="1267"/>
        <item m="1" x="1501"/>
        <item m="1" x="1734"/>
        <item m="1" x="1968"/>
        <item m="1" x="2196"/>
        <item m="1" x="676"/>
        <item m="1" x="913"/>
        <item m="1" x="1149"/>
        <item m="1" x="1383"/>
        <item m="1" x="1616"/>
        <item m="1" x="1850"/>
        <item m="1" x="2083"/>
        <item m="1" x="2311"/>
        <item m="1" x="159"/>
        <item m="1" x="359"/>
        <item m="1" x="515"/>
        <item m="1" x="744"/>
        <item m="1" x="981"/>
        <item m="1" x="1217"/>
        <item m="1" x="1451"/>
        <item m="1" x="1683"/>
        <item m="1" x="1917"/>
        <item m="1" x="2146"/>
        <item m="1" x="2373"/>
        <item m="1" x="221"/>
        <item m="1" x="412"/>
        <item m="1" x="568"/>
        <item m="1" x="806"/>
        <item m="1" x="1043"/>
        <item m="1" x="1279"/>
        <item m="1" x="1513"/>
        <item m="1" x="1746"/>
        <item m="1" x="1980"/>
        <item m="1" x="2208"/>
        <item m="1" x="55"/>
        <item m="1" x="268"/>
        <item m="1" x="690"/>
        <item m="1" x="927"/>
        <item m="1" x="1163"/>
        <item m="1" x="1397"/>
        <item m="1" x="1630"/>
        <item m="1" x="1864"/>
        <item m="1" x="2097"/>
        <item m="1" x="2325"/>
        <item m="1" x="173"/>
        <item m="1" x="373"/>
        <item m="1" x="529"/>
        <item m="1" x="766"/>
        <item m="1" x="1003"/>
        <item m="1" x="1238"/>
        <item m="1" x="1472"/>
        <item m="1" x="1705"/>
        <item m="1" x="1939"/>
        <item m="1" x="2168"/>
        <item m="1" x="2394"/>
        <item m="1" x="243"/>
        <item m="1" x="426"/>
        <item m="1" x="582"/>
        <item m="1" x="821"/>
        <item m="1" x="1058"/>
        <item m="1" x="1294"/>
        <item m="1" x="1527"/>
        <item m="1" x="1761"/>
        <item m="1" x="1994"/>
        <item m="1" x="2222"/>
        <item m="1" x="70"/>
        <item m="1" x="283"/>
        <item m="1" x="704"/>
        <item m="1" x="940"/>
        <item m="1" x="1176"/>
        <item m="1" x="1410"/>
        <item m="1" x="1643"/>
        <item m="1" x="1877"/>
        <item m="1" x="2110"/>
        <item m="1" x="2338"/>
        <item m="1" x="186"/>
        <item m="1" x="386"/>
        <item m="1" x="542"/>
        <item m="1" x="781"/>
        <item m="1" x="1018"/>
        <item m="1" x="1253"/>
        <item m="1" x="1487"/>
        <item m="1" x="1720"/>
        <item m="1" x="1954"/>
        <item m="1" x="434"/>
        <item m="1" x="598"/>
        <item m="1" x="838"/>
        <item m="1" x="1075"/>
        <item m="1" x="1311"/>
        <item m="1" x="1544"/>
        <item m="1" x="1778"/>
        <item m="1" x="2011"/>
        <item m="1" x="2239"/>
        <item m="1" x="87"/>
        <item m="1" x="724"/>
        <item m="1" x="960"/>
        <item m="1" x="1196"/>
        <item m="1" x="1430"/>
        <item m="1" x="1663"/>
        <item m="1" x="1897"/>
        <item m="1" x="2130"/>
        <item m="1" x="2358"/>
        <item m="1" x="206"/>
        <item m="1" x="397"/>
        <item m="1" x="553"/>
        <item m="1" x="792"/>
        <item m="1" x="1029"/>
        <item m="1" x="1264"/>
        <item m="1" x="1498"/>
        <item m="1" x="1731"/>
        <item m="1" x="1965"/>
        <item m="1" x="2193"/>
        <item m="1" x="42"/>
        <item m="1" x="260"/>
        <item m="1" x="440"/>
        <item m="1" x="613"/>
        <item m="1" x="851"/>
        <item m="1" x="1088"/>
        <item m="1" x="1324"/>
        <item m="1" x="1557"/>
        <item m="1" x="1791"/>
        <item m="1" x="2024"/>
        <item m="1" x="2252"/>
        <item m="1" x="100"/>
        <item m="1" x="307"/>
        <item m="1" x="741"/>
        <item m="1" x="978"/>
        <item m="1" x="1214"/>
        <item m="1" x="1448"/>
        <item m="1" x="1680"/>
        <item m="1" x="1914"/>
        <item m="1" x="2143"/>
        <item m="1" x="2370"/>
        <item m="1" x="218"/>
        <item m="1" x="409"/>
        <item m="1" x="565"/>
        <item m="1" x="803"/>
        <item m="1" x="1040"/>
        <item m="1" x="1276"/>
        <item m="1" x="1510"/>
        <item m="1" x="1743"/>
        <item m="1" x="1977"/>
        <item m="1" x="2205"/>
        <item m="1" x="52"/>
        <item m="1" x="265"/>
        <item m="1" x="446"/>
        <item m="1" x="627"/>
        <item m="1" x="865"/>
        <item m="1" x="1102"/>
        <item m="1" x="1337"/>
        <item m="1" x="1569"/>
        <item m="1" x="1803"/>
        <item m="1" x="2037"/>
        <item m="1" x="2265"/>
        <item m="1" x="113"/>
        <item m="1" x="761"/>
        <item m="1" x="998"/>
        <item m="1" x="1233"/>
        <item m="1" x="1467"/>
        <item m="1" x="1700"/>
        <item m="1" x="1934"/>
        <item m="1" x="2163"/>
        <item m="1" x="2389"/>
        <item m="1" x="238"/>
        <item m="1" x="421"/>
        <item m="1" x="577"/>
        <item m="1" x="816"/>
        <item m="1" x="1053"/>
        <item m="1" x="1289"/>
        <item m="1" x="1756"/>
        <item m="1" x="1989"/>
        <item m="1" x="2217"/>
        <item m="1" x="65"/>
        <item m="1" x="278"/>
        <item m="1" x="453"/>
        <item m="1" x="641"/>
        <item m="1" x="879"/>
        <item m="1" x="1116"/>
        <item m="1" x="1583"/>
        <item m="1" x="1817"/>
        <item m="1" x="2051"/>
        <item m="1" x="2279"/>
        <item m="1" x="127"/>
        <item m="1" x="328"/>
        <item m="1" x="592"/>
        <item m="1" x="832"/>
        <item m="1" x="1069"/>
        <item m="1" x="1305"/>
        <item m="1" x="1538"/>
        <item m="1" x="1772"/>
        <item m="1" x="2005"/>
        <item m="1" x="2233"/>
        <item m="1" x="81"/>
        <item m="1" x="294"/>
        <item m="1" x="462"/>
        <item m="1" x="654"/>
        <item m="1" x="892"/>
        <item m="1" x="1128"/>
        <item m="1" x="1362"/>
        <item m="1" x="1595"/>
        <item m="1" x="1829"/>
        <item m="1" x="2063"/>
        <item m="1" x="2291"/>
        <item m="1" x="139"/>
        <item m="1" x="339"/>
        <item m="1" x="495"/>
        <item m="1" x="716"/>
        <item m="1" x="952"/>
        <item m="1" x="1188"/>
        <item m="1" x="1422"/>
        <item m="1" x="1655"/>
        <item m="1" x="1889"/>
        <item m="1" x="2122"/>
        <item m="1" x="2350"/>
        <item m="1" x="198"/>
        <item m="1" x="607"/>
        <item m="1" x="846"/>
        <item m="1" x="1083"/>
        <item m="1" x="1319"/>
        <item m="1" x="1552"/>
        <item m="1" x="1786"/>
        <item m="1" x="2019"/>
        <item m="1" x="2247"/>
        <item m="1" x="95"/>
        <item m="1" x="302"/>
        <item m="1" x="470"/>
        <item m="1" x="669"/>
        <item m="1" x="906"/>
        <item m="1" x="1142"/>
        <item m="1" x="1376"/>
        <item m="1" x="1609"/>
        <item m="1" x="1843"/>
        <item m="1" x="2076"/>
        <item m="1" x="2304"/>
        <item m="1" x="152"/>
        <item m="1" x="352"/>
        <item m="1" x="508"/>
        <item m="1" x="734"/>
        <item m="1" x="970"/>
        <item m="1" x="1206"/>
        <item m="1" x="1440"/>
        <item m="1" x="1673"/>
        <item m="1" x="1907"/>
        <item m="1" x="619"/>
        <item m="1" x="857"/>
        <item m="1" x="1094"/>
        <item m="1" x="1329"/>
        <item m="1" x="1562"/>
        <item m="1" x="1796"/>
        <item m="1" x="2029"/>
        <item m="1" x="2257"/>
        <item m="1" x="105"/>
        <item m="1" x="312"/>
        <item m="1" x="475"/>
        <item m="1" x="680"/>
        <item m="1" x="917"/>
        <item m="1" x="1153"/>
        <item m="1" x="1387"/>
        <item m="1" x="1620"/>
        <item m="1" x="1854"/>
        <item m="1" x="2087"/>
        <item m="1" x="2315"/>
        <item m="1" x="163"/>
        <item m="1" x="363"/>
        <item m="1" x="519"/>
        <item m="1" x="750"/>
        <item m="1" x="987"/>
        <item m="1" x="1223"/>
        <item m="1" x="1457"/>
        <item m="1" x="1689"/>
        <item m="1" x="1923"/>
        <item m="1" x="2152"/>
        <item m="1" x="2379"/>
        <item m="1" x="227"/>
        <item m="1" x="620"/>
        <item m="1" x="858"/>
        <item m="1" x="1095"/>
        <item m="1" x="1330"/>
        <item m="1" x="1563"/>
        <item m="1" x="1797"/>
        <item m="1" x="2030"/>
        <item m="1" x="2258"/>
        <item m="1" x="106"/>
        <item m="1" x="313"/>
        <item m="1" x="476"/>
        <item m="1" x="682"/>
        <item m="1" x="919"/>
        <item m="1" x="1155"/>
        <item m="1" x="1389"/>
        <item m="1" x="1622"/>
        <item m="1" x="1856"/>
        <item m="1" x="2089"/>
        <item m="1" x="2317"/>
        <item m="1" x="165"/>
        <item m="1" x="365"/>
        <item m="1" x="521"/>
        <item m="1" x="752"/>
        <item m="1" x="989"/>
        <item m="1" x="1225"/>
        <item m="1" x="1459"/>
        <item m="1" x="1691"/>
        <item m="1" x="1925"/>
        <item m="1" x="2154"/>
        <item m="1" x="2381"/>
        <item m="1" x="229"/>
        <item m="1" x="633"/>
        <item m="1" x="871"/>
        <item m="1" x="1108"/>
        <item m="1" x="1343"/>
        <item m="1" x="1575"/>
        <item m="1" x="1809"/>
        <item m="1" x="2043"/>
        <item m="1" x="2271"/>
        <item m="1" x="119"/>
        <item m="1" x="320"/>
        <item m="1" x="483"/>
        <item m="1" x="697"/>
        <item m="1" x="933"/>
        <item m="1" x="1169"/>
        <item m="1" x="1403"/>
        <item m="1" x="1636"/>
        <item m="1" x="1870"/>
        <item m="1" x="2103"/>
        <item m="1" x="2331"/>
        <item m="1" x="179"/>
        <item m="1" x="379"/>
        <item m="1" x="535"/>
        <item m="1" x="774"/>
        <item m="1" x="1011"/>
        <item m="1" x="1246"/>
        <item m="1" x="1480"/>
        <item m="1" x="1713"/>
        <item m="1" x="1947"/>
        <item m="1" x="2176"/>
        <item m="1" x="2402"/>
        <item m="1" x="664"/>
        <item m="1" x="901"/>
        <item m="1" x="1137"/>
        <item m="1" x="1371"/>
        <item m="1" x="1604"/>
        <item m="1" x="1838"/>
        <item m="1" x="2072"/>
        <item m="1" x="2300"/>
        <item m="1" x="148"/>
        <item m="1" x="348"/>
        <item m="1" x="504"/>
        <item m="1" x="729"/>
        <item m="1" x="965"/>
        <item m="1" x="1201"/>
        <item m="1" x="1435"/>
        <item m="1" x="1668"/>
        <item m="1" x="1902"/>
        <item m="1" x="2135"/>
        <item m="1" x="2363"/>
        <item m="1" x="211"/>
        <item m="1" x="402"/>
        <item m="1" x="558"/>
        <item m="1" x="797"/>
        <item m="1" x="1034"/>
        <item m="1" x="1269"/>
        <item m="1" x="1503"/>
        <item m="1" x="1736"/>
        <item m="1" x="1970"/>
        <item m="1" x="2198"/>
        <item m="1" x="46"/>
        <item m="1" x="677"/>
        <item m="1" x="914"/>
        <item m="1" x="1150"/>
        <item m="1" x="1384"/>
        <item m="1" x="1617"/>
        <item m="1" x="1851"/>
        <item m="1" x="2084"/>
        <item m="1" x="2312"/>
        <item m="1" x="160"/>
        <item m="1" x="360"/>
        <item m="1" x="516"/>
        <item m="1" x="746"/>
        <item m="1" x="983"/>
        <item m="1" x="1219"/>
        <item m="1" x="1453"/>
        <item m="1" x="1685"/>
        <item m="1" x="1919"/>
        <item m="1" x="2148"/>
        <item m="1" x="2375"/>
        <item m="1" x="223"/>
        <item m="1" x="414"/>
        <item m="1" x="570"/>
        <item m="1" x="808"/>
        <item m="1" x="1045"/>
        <item m="1" x="1281"/>
        <item m="1" x="1515"/>
        <item m="1" x="1748"/>
        <item m="1" x="1982"/>
        <item m="1" x="2210"/>
        <item m="1" x="57"/>
        <item m="1" x="270"/>
        <item m="1" x="691"/>
        <item m="1" x="928"/>
        <item m="1" x="1164"/>
        <item m="1" x="1398"/>
        <item m="1" x="1631"/>
        <item m="1" x="1865"/>
        <item m="1" x="2098"/>
        <item m="1" x="2326"/>
        <item m="1" x="174"/>
        <item m="1" x="374"/>
        <item m="1" x="530"/>
        <item m="1" x="768"/>
        <item m="1" x="1005"/>
        <item m="1" x="1240"/>
        <item m="1" x="1474"/>
        <item m="1" x="1707"/>
        <item m="1" x="1941"/>
        <item m="1" x="2170"/>
        <item m="1" x="2396"/>
        <item m="1" x="245"/>
        <item m="1" x="428"/>
        <item m="1" x="584"/>
        <item m="1" x="823"/>
        <item m="1" x="1060"/>
        <item m="1" x="1296"/>
        <item m="1" x="1529"/>
        <item m="1" x="1763"/>
        <item m="1" x="1996"/>
        <item m="1" x="2224"/>
        <item m="1" x="72"/>
        <item m="1" x="285"/>
        <item m="1" x="705"/>
        <item m="1" x="941"/>
        <item m="1" x="1177"/>
        <item m="1" x="1411"/>
        <item m="1" x="1644"/>
        <item m="1" x="1878"/>
        <item m="1" x="2111"/>
        <item m="1" x="2339"/>
        <item m="1" x="187"/>
        <item m="1" x="387"/>
        <item m="1" x="543"/>
        <item m="1" x="782"/>
        <item m="1" x="1019"/>
        <item m="1" x="1254"/>
        <item m="1" x="1488"/>
        <item m="1" x="1721"/>
        <item m="1" x="1955"/>
        <item m="1" x="2183"/>
        <item m="1" x="32"/>
        <item m="1" x="251"/>
        <item m="1" x="435"/>
        <item m="1" x="599"/>
        <item m="1" x="839"/>
        <item m="1" x="1076"/>
        <item m="1" x="1312"/>
        <item m="1" x="1545"/>
        <item m="1" x="1779"/>
        <item m="1" x="2012"/>
        <item m="1" x="2240"/>
        <item m="1" x="88"/>
        <item m="1" x="725"/>
        <item m="1" x="961"/>
        <item m="1" x="1197"/>
        <item m="1" x="1431"/>
        <item m="1" x="1664"/>
        <item m="1" x="1898"/>
        <item m="1" x="2131"/>
        <item m="1" x="2359"/>
        <item m="1" x="207"/>
        <item m="1" x="398"/>
        <item m="1" x="554"/>
        <item m="1" x="793"/>
        <item m="1" x="1030"/>
        <item m="1" x="1265"/>
        <item m="1" x="1499"/>
        <item m="1" x="1732"/>
        <item m="1" x="1966"/>
        <item m="1" x="2194"/>
        <item m="1" x="43"/>
        <item m="1" x="261"/>
        <item m="1" x="441"/>
        <item m="1" x="614"/>
        <item m="1" x="852"/>
        <item m="1" x="1089"/>
        <item m="1" x="1325"/>
        <item m="1" x="1558"/>
        <item m="1" x="1792"/>
        <item m="1" x="2025"/>
        <item m="1" x="2253"/>
        <item m="1" x="101"/>
        <item m="1" x="308"/>
        <item m="1" x="742"/>
        <item m="1" x="979"/>
        <item m="1" x="1215"/>
        <item m="1" x="1449"/>
        <item m="1" x="1681"/>
        <item m="1" x="1915"/>
        <item m="1" x="2144"/>
        <item m="1" x="2371"/>
        <item m="1" x="219"/>
        <item m="1" x="410"/>
        <item m="1" x="566"/>
        <item m="1" x="804"/>
        <item m="1" x="1041"/>
        <item m="1" x="1277"/>
        <item m="1" x="1511"/>
        <item m="1" x="1744"/>
        <item m="1" x="1978"/>
        <item m="1" x="2206"/>
        <item m="1" x="53"/>
        <item m="1" x="266"/>
        <item m="1" x="447"/>
        <item m="1" x="628"/>
        <item m="1" x="866"/>
        <item m="1" x="1103"/>
        <item m="1" x="1338"/>
        <item m="1" x="1570"/>
        <item m="1" x="1804"/>
        <item m="1" x="2038"/>
        <item m="1" x="2266"/>
        <item m="1" x="114"/>
        <item m="1" x="762"/>
        <item m="1" x="999"/>
        <item m="1" x="1234"/>
        <item m="1" x="1468"/>
        <item m="1" x="1701"/>
        <item m="1" x="1935"/>
        <item m="1" x="2164"/>
        <item m="1" x="2390"/>
        <item m="1" x="239"/>
        <item m="1" x="422"/>
        <item m="1" x="578"/>
        <item m="1" x="817"/>
        <item m="1" x="1054"/>
        <item m="1" x="1290"/>
        <item m="1" x="1523"/>
        <item m="1" x="1757"/>
        <item m="1" x="1990"/>
        <item m="1" x="2218"/>
        <item m="1" x="66"/>
        <item m="1" x="279"/>
        <item m="1" x="454"/>
        <item m="1" x="642"/>
        <item m="1" x="880"/>
        <item m="1" x="1117"/>
        <item m="1" x="1351"/>
        <item m="1" x="1584"/>
        <item m="1" x="1818"/>
        <item m="1" x="2052"/>
        <item m="1" x="2280"/>
        <item m="1" x="128"/>
        <item m="1" x="329"/>
        <item m="1" x="593"/>
        <item m="1" x="833"/>
        <item m="1" x="1070"/>
        <item m="1" x="1306"/>
        <item m="1" x="1539"/>
        <item m="1" x="1773"/>
        <item m="1" x="2006"/>
        <item m="1" x="2234"/>
        <item m="1" x="82"/>
        <item m="1" x="295"/>
        <item m="1" x="463"/>
        <item m="1" x="657"/>
        <item m="1" x="895"/>
        <item m="1" x="1131"/>
        <item m="1" x="1365"/>
        <item m="1" x="1598"/>
        <item m="1" x="1832"/>
        <item m="1" x="2066"/>
        <item m="1" x="2294"/>
        <item m="1" x="142"/>
        <item m="1" x="342"/>
        <item m="1" x="498"/>
        <item m="1" x="719"/>
        <item m="1" x="955"/>
        <item m="1" x="1191"/>
        <item m="1" x="1425"/>
        <item m="1" x="1658"/>
        <item m="1" x="1892"/>
        <item m="1" x="2125"/>
        <item m="1" x="2353"/>
        <item m="1" x="201"/>
        <item m="1" x="608"/>
        <item m="1" x="621"/>
        <item m="1" x="859"/>
        <item m="1" x="1096"/>
        <item m="1" x="1331"/>
        <item m="1" x="1564"/>
        <item m="1" x="1798"/>
        <item m="1" x="2031"/>
        <item m="1" x="2259"/>
        <item m="1" x="107"/>
        <item m="1" x="314"/>
        <item m="1" x="477"/>
        <item m="1" x="684"/>
        <item m="1" x="921"/>
        <item m="1" x="1157"/>
        <item m="1" x="1391"/>
        <item m="1" x="1624"/>
        <item m="1" x="1858"/>
        <item m="1" x="2091"/>
        <item m="1" x="2319"/>
        <item m="1" x="167"/>
        <item m="1" x="367"/>
        <item m="1" x="523"/>
        <item m="1" x="754"/>
        <item m="1" x="991"/>
        <item m="1" x="1227"/>
        <item m="1" x="1461"/>
        <item m="1" x="1693"/>
        <item m="1" x="1927"/>
        <item m="1" x="2156"/>
        <item m="1" x="2383"/>
        <item m="1" x="231"/>
        <item m="1" x="634"/>
        <item m="1" x="872"/>
        <item m="1" x="1109"/>
        <item m="1" x="1344"/>
        <item m="1" x="1576"/>
        <item m="1" x="1810"/>
        <item m="1" x="2044"/>
        <item m="1" x="2272"/>
        <item m="1" x="120"/>
        <item m="1" x="321"/>
        <item m="1" x="484"/>
        <item m="1" x="699"/>
        <item m="1" x="935"/>
        <item m="1" x="1171"/>
        <item m="1" x="1405"/>
        <item m="1" x="1638"/>
        <item m="1" x="1872"/>
        <item m="1" x="2105"/>
        <item m="1" x="2333"/>
        <item m="1" x="181"/>
        <item m="1" x="381"/>
        <item m="1" x="537"/>
        <item m="1" x="776"/>
        <item m="1" x="1013"/>
        <item m="1" x="1248"/>
        <item m="1" x="1482"/>
        <item m="1" x="1715"/>
        <item m="1" x="1949"/>
        <item m="1" x="2178"/>
        <item m="1" x="2404"/>
        <item m="1" x="650"/>
        <item m="1" x="888"/>
        <item m="1" x="1124"/>
        <item m="1" x="1358"/>
        <item m="1" x="1591"/>
        <item m="1" x="1825"/>
        <item m="1" x="2059"/>
        <item m="1" x="2287"/>
        <item m="1" x="135"/>
        <item m="1" x="335"/>
        <item m="1" x="491"/>
        <item m="1" x="712"/>
        <item m="1" x="948"/>
        <item m="1" x="1184"/>
        <item m="1" x="1418"/>
        <item m="1" x="1651"/>
        <item m="1" x="1885"/>
        <item m="1" x="2118"/>
        <item m="1" x="2346"/>
        <item m="1" x="194"/>
        <item m="1" x="393"/>
        <item m="1" x="549"/>
        <item m="1" x="788"/>
        <item m="1" x="1025"/>
        <item m="1" x="1260"/>
        <item m="1" x="1494"/>
        <item m="1" x="1727"/>
        <item m="1" x="1961"/>
        <item m="1" x="2189"/>
        <item m="1" x="38"/>
        <item m="1" x="257"/>
        <item m="1" x="665"/>
        <item m="1" x="902"/>
        <item m="1" x="1138"/>
        <item m="1" x="1372"/>
        <item m="1" x="1605"/>
        <item m="1" x="1839"/>
        <item m="1" x="2073"/>
        <item m="1" x="2301"/>
        <item m="1" x="149"/>
        <item m="1" x="349"/>
        <item m="1" x="505"/>
        <item m="1" x="731"/>
        <item m="1" x="967"/>
        <item m="1" x="1203"/>
        <item m="1" x="1437"/>
        <item m="1" x="1670"/>
        <item m="1" x="1904"/>
        <item m="1" x="2137"/>
        <item m="1" x="2365"/>
        <item m="1" x="213"/>
        <item m="1" x="404"/>
        <item m="1" x="560"/>
        <item m="1" x="799"/>
        <item m="1" x="1036"/>
        <item m="1" x="1271"/>
        <item m="1" x="1505"/>
        <item m="1" x="1738"/>
        <item m="1" x="1972"/>
        <item m="1" x="2200"/>
        <item m="1" x="48"/>
        <item m="1" x="692"/>
        <item m="1" x="929"/>
        <item m="1" x="1165"/>
        <item m="1" x="1399"/>
        <item m="1" x="1632"/>
        <item m="1" x="1866"/>
        <item m="1" x="2099"/>
        <item m="1" x="2327"/>
        <item m="1" x="175"/>
        <item m="1" x="375"/>
        <item m="1" x="531"/>
        <item m="1" x="770"/>
        <item m="1" x="1007"/>
        <item m="1" x="1242"/>
        <item m="1" x="1476"/>
        <item m="1" x="1709"/>
        <item m="1" x="1943"/>
        <item m="1" x="2172"/>
        <item m="1" x="2398"/>
        <item m="1" x="247"/>
        <item m="1" x="430"/>
        <item m="1" x="586"/>
        <item m="1" x="825"/>
        <item m="1" x="1062"/>
        <item m="1" x="1298"/>
        <item m="1" x="1531"/>
        <item m="1" x="1765"/>
        <item m="1" x="1998"/>
        <item m="1" x="2226"/>
        <item m="1" x="74"/>
        <item m="1" x="287"/>
        <item m="1" x="706"/>
        <item m="1" x="942"/>
        <item m="1" x="1178"/>
        <item m="1" x="1412"/>
        <item m="1" x="1645"/>
        <item m="1" x="1879"/>
        <item m="1" x="2112"/>
        <item m="1" x="2340"/>
        <item m="1" x="188"/>
        <item m="1" x="388"/>
        <item m="1" x="544"/>
        <item m="1" x="783"/>
        <item m="1" x="1020"/>
        <item m="1" x="1255"/>
        <item m="1" x="1489"/>
        <item m="1" x="1722"/>
        <item m="1" x="1956"/>
        <item m="1" x="2184"/>
        <item m="1" x="33"/>
        <item m="1" x="252"/>
        <item m="1" x="436"/>
        <item m="1" x="600"/>
        <item m="1" x="840"/>
        <item m="1" x="1077"/>
        <item m="1" x="1313"/>
        <item m="1" x="1546"/>
        <item m="1" x="1780"/>
        <item m="1" x="2013"/>
        <item m="1" x="2241"/>
        <item m="1" x="89"/>
        <item m="1" x="726"/>
        <item m="1" x="962"/>
        <item m="1" x="1198"/>
        <item m="1" x="1432"/>
        <item m="1" x="1665"/>
        <item m="1" x="1899"/>
        <item m="1" x="2132"/>
        <item m="1" x="2360"/>
        <item m="1" x="208"/>
        <item m="1" x="399"/>
        <item m="1" x="555"/>
        <item m="1" x="794"/>
        <item m="1" x="1031"/>
        <item m="1" x="1266"/>
        <item m="1" x="1500"/>
        <item m="1" x="1733"/>
        <item m="1" x="1967"/>
        <item m="1" x="2195"/>
        <item m="1" x="44"/>
        <item m="1" x="262"/>
        <item m="1" x="442"/>
        <item m="1" x="615"/>
        <item m="1" x="853"/>
        <item m="1" x="1090"/>
        <item m="1" x="1326"/>
        <item m="1" x="1559"/>
        <item m="1" x="1793"/>
        <item m="1" x="2026"/>
        <item m="1" x="2254"/>
        <item m="1" x="102"/>
        <item m="1" x="309"/>
        <item m="1" x="743"/>
        <item m="1" x="980"/>
        <item m="1" x="1216"/>
        <item m="1" x="1450"/>
        <item m="1" x="1682"/>
        <item m="1" x="1916"/>
        <item m="1" x="2145"/>
        <item m="1" x="2372"/>
        <item m="1" x="220"/>
        <item m="1" x="411"/>
        <item m="1" x="567"/>
        <item m="1" x="805"/>
        <item m="1" x="1042"/>
        <item m="1" x="1278"/>
        <item m="1" x="1512"/>
        <item m="1" x="1745"/>
        <item m="1" x="1979"/>
        <item m="1" x="2207"/>
        <item m="1" x="54"/>
        <item m="1" x="267"/>
        <item m="1" x="448"/>
        <item m="1" x="629"/>
        <item m="1" x="867"/>
        <item m="1" x="1104"/>
        <item m="1" x="1339"/>
        <item m="1" x="1571"/>
        <item m="1" x="1805"/>
        <item m="1" x="2039"/>
        <item m="1" x="2267"/>
        <item m="1" x="115"/>
        <item m="1" x="764"/>
        <item m="1" x="1001"/>
        <item m="1" x="1236"/>
        <item m="1" x="1470"/>
        <item m="1" x="1703"/>
        <item m="1" x="1937"/>
        <item m="1" x="2166"/>
        <item m="1" x="2392"/>
        <item m="1" x="241"/>
        <item m="1" x="424"/>
        <item m="1" x="580"/>
        <item m="1" x="819"/>
        <item m="1" x="1056"/>
        <item m="1" x="1292"/>
        <item m="1" x="1525"/>
        <item m="1" x="1759"/>
        <item m="1" x="1992"/>
        <item m="1" x="2220"/>
        <item m="1" x="68"/>
        <item m="1" x="281"/>
        <item m="1" x="455"/>
        <item m="1" x="643"/>
        <item m="1" x="881"/>
        <item m="1" x="1118"/>
        <item m="1" x="1352"/>
        <item m="1" x="1585"/>
        <item m="1" x="1819"/>
        <item m="1" x="2053"/>
        <item m="1" x="2281"/>
        <item m="1" x="129"/>
        <item m="1" x="594"/>
        <item m="1" x="834"/>
        <item m="1" x="1071"/>
        <item m="1" x="1307"/>
        <item m="1" x="1540"/>
        <item m="1" x="1774"/>
        <item m="1" x="2007"/>
        <item m="1" x="2235"/>
        <item m="1" x="83"/>
        <item m="1" x="296"/>
        <item m="1" x="464"/>
        <item m="1" x="659"/>
        <item m="1" x="896"/>
        <item m="1" x="1132"/>
        <item m="1" x="1366"/>
        <item m="1" x="1599"/>
        <item m="1" x="1833"/>
        <item m="1" x="2067"/>
        <item m="1" x="2295"/>
        <item m="1" x="143"/>
        <item m="1" x="343"/>
        <item m="1" x="499"/>
        <item m="1" x="720"/>
        <item m="1" x="956"/>
        <item m="1" x="1192"/>
        <item m="1" x="1426"/>
        <item m="1" x="1659"/>
        <item m="1" x="1893"/>
        <item m="1" x="2126"/>
        <item m="1" x="2354"/>
        <item m="1" x="202"/>
        <item m="1" x="609"/>
        <item m="1" x="847"/>
        <item m="1" x="1084"/>
        <item m="1" x="1320"/>
        <item m="1" x="1553"/>
        <item m="1" x="1787"/>
        <item m="1" x="2020"/>
        <item m="1" x="2248"/>
        <item m="1" x="96"/>
        <item m="1" x="303"/>
        <item m="1" x="471"/>
        <item m="1" x="672"/>
        <item m="1" x="909"/>
        <item m="1" x="1145"/>
        <item m="1" x="1379"/>
        <item m="1" x="1612"/>
        <item m="1" x="1846"/>
        <item m="1" x="2079"/>
        <item m="1" x="2307"/>
        <item m="1" x="155"/>
        <item m="1" x="355"/>
        <item m="1" x="511"/>
        <item m="1" x="737"/>
        <item m="1" x="973"/>
        <item m="1" x="1209"/>
        <item m="1" x="1443"/>
        <item m="1" x="1676"/>
        <item m="1" x="1910"/>
        <item m="1" x="678"/>
        <item m="1" x="915"/>
        <item m="1" x="1151"/>
        <item m="1" x="1385"/>
        <item m="1" x="1618"/>
        <item m="1" x="1852"/>
        <item m="1" x="2085"/>
        <item m="1" x="2313"/>
        <item m="1" x="161"/>
        <item m="1" x="361"/>
        <item m="1" x="517"/>
        <item m="1" x="748"/>
        <item m="1" x="985"/>
        <item m="1" x="1221"/>
        <item m="1" x="1455"/>
        <item m="1" x="1687"/>
        <item m="1" x="1921"/>
        <item m="1" x="2150"/>
        <item m="1" x="2377"/>
        <item m="1" x="225"/>
        <item m="1" x="416"/>
        <item m="1" x="572"/>
        <item m="1" x="810"/>
        <item m="1" x="1047"/>
        <item m="1" x="1283"/>
        <item m="1" x="1517"/>
        <item m="1" x="1750"/>
        <item m="1" x="1984"/>
        <item m="1" x="2212"/>
        <item m="1" x="59"/>
        <item m="1" x="272"/>
        <item m="1" x="694"/>
        <item m="1" x="765"/>
        <item m="1" x="1002"/>
        <item m="1" x="1237"/>
        <item m="1" x="1471"/>
        <item m="1" x="1704"/>
        <item m="1" x="1938"/>
        <item m="1" x="2167"/>
        <item m="1" x="2393"/>
        <item m="1" x="242"/>
        <item m="1" x="425"/>
        <item m="1" x="581"/>
        <item m="1" x="820"/>
        <item m="1" x="1057"/>
        <item m="1" x="1293"/>
        <item m="1" x="1526"/>
        <item m="1" x="1760"/>
        <item m="1" x="1993"/>
        <item m="1" x="2221"/>
        <item m="1" x="69"/>
        <item m="1" x="282"/>
        <item m="1" x="456"/>
        <item m="1" x="644"/>
        <item m="1" x="882"/>
        <item m="1" x="1119"/>
        <item m="1" x="1353"/>
        <item m="1" x="1586"/>
        <item m="1" x="1820"/>
        <item m="1" x="2054"/>
        <item m="1" x="2282"/>
        <item m="1" x="130"/>
        <item m="1" x="330"/>
        <item m="1" x="595"/>
        <item m="1" x="835"/>
        <item m="1" x="1072"/>
        <item m="1" x="1308"/>
        <item m="1" x="1541"/>
        <item m="1" x="1775"/>
        <item m="1" x="2008"/>
        <item m="1" x="2236"/>
        <item m="1" x="84"/>
        <item m="1" x="297"/>
        <item m="1" x="465"/>
        <item m="1" x="660"/>
        <item m="1" x="897"/>
        <item m="1" x="1133"/>
        <item m="1" x="1367"/>
        <item m="1" x="1600"/>
        <item m="1" x="1834"/>
        <item m="1" x="2068"/>
        <item m="1" x="2296"/>
        <item m="1" x="144"/>
        <item m="1" x="344"/>
        <item m="1" x="500"/>
        <item m="1" x="721"/>
        <item m="1" x="957"/>
        <item m="1" x="1193"/>
        <item m="1" x="1427"/>
        <item m="1" x="1660"/>
        <item m="1" x="1894"/>
        <item m="1" x="2127"/>
        <item m="1" x="2355"/>
        <item m="1" x="203"/>
        <item m="1" x="610"/>
        <item m="1" x="848"/>
        <item m="1" x="1085"/>
        <item m="1" x="1321"/>
        <item m="1" x="1554"/>
        <item m="1" x="1788"/>
        <item m="1" x="2021"/>
        <item m="1" x="2249"/>
        <item m="1" x="97"/>
        <item m="1" x="304"/>
        <item m="1" x="472"/>
        <item m="1" x="673"/>
        <item m="1" x="910"/>
        <item m="1" x="1146"/>
        <item m="1" x="1380"/>
        <item m="1" x="1613"/>
        <item m="1" x="1847"/>
        <item m="1" x="2080"/>
        <item m="1" x="2308"/>
        <item m="1" x="156"/>
        <item m="1" x="356"/>
        <item m="1" x="512"/>
        <item m="1" x="738"/>
        <item m="1" x="974"/>
        <item m="1" x="1210"/>
        <item m="1" x="1444"/>
        <item m="1" x="1677"/>
        <item m="1" x="1911"/>
        <item m="1" x="622"/>
        <item m="1" x="860"/>
        <item m="1" x="1097"/>
        <item m="1" x="1332"/>
        <item m="1" x="1565"/>
        <item m="1" x="1799"/>
        <item m="1" x="2032"/>
        <item m="1" x="2260"/>
        <item m="1" x="108"/>
        <item m="1" x="315"/>
        <item m="1" x="478"/>
        <item m="1" x="685"/>
        <item m="1" x="922"/>
        <item m="1" x="1158"/>
        <item m="1" x="1392"/>
        <item m="1" x="1625"/>
        <item m="1" x="1859"/>
        <item m="1" x="2092"/>
        <item m="1" x="2320"/>
        <item m="1" x="168"/>
        <item m="1" x="368"/>
        <item m="1" x="524"/>
        <item m="1" x="755"/>
        <item m="1" x="992"/>
        <item m="1" x="1228"/>
        <item m="1" x="1462"/>
        <item m="1" x="1694"/>
        <item m="1" x="1928"/>
        <item m="1" x="2157"/>
        <item m="1" x="2384"/>
        <item m="1" x="232"/>
        <item m="1" x="635"/>
        <item m="1" x="873"/>
        <item m="1" x="1110"/>
        <item m="1" x="1345"/>
        <item m="1" x="1577"/>
        <item m="1" x="1811"/>
        <item m="1" x="2045"/>
        <item m="1" x="2273"/>
        <item m="1" x="121"/>
        <item m="1" x="322"/>
        <item m="1" x="485"/>
        <item m="1" x="700"/>
        <item m="1" x="936"/>
        <item m="1" x="1172"/>
        <item m="1" x="1406"/>
        <item m="1" x="1639"/>
        <item m="1" x="1873"/>
        <item m="1" x="2106"/>
        <item m="1" x="2334"/>
        <item m="1" x="182"/>
        <item m="1" x="382"/>
        <item m="1" x="538"/>
        <item m="1" x="777"/>
        <item m="1" x="1014"/>
        <item m="1" x="1249"/>
        <item m="1" x="1483"/>
        <item m="1" x="1716"/>
        <item m="1" x="1950"/>
        <item m="1" x="2179"/>
        <item m="1" x="2405"/>
        <item m="1" x="653"/>
        <item m="1" x="891"/>
        <item m="1" x="1127"/>
        <item m="1" x="1361"/>
        <item m="1" x="1594"/>
        <item m="1" x="1828"/>
        <item m="1" x="2062"/>
        <item m="1" x="2290"/>
        <item m="1" x="138"/>
        <item m="1" x="338"/>
        <item m="1" x="494"/>
        <item m="1" x="715"/>
        <item m="1" x="951"/>
        <item m="1" x="1187"/>
        <item m="1" x="1421"/>
        <item m="1" x="1654"/>
        <item m="1" x="1888"/>
        <item m="1" x="2121"/>
        <item m="1" x="2349"/>
        <item m="1" x="197"/>
        <item m="1" x="394"/>
        <item m="1" x="550"/>
        <item m="1" x="789"/>
        <item m="1" x="1026"/>
        <item m="1" x="1261"/>
        <item m="1" x="1495"/>
        <item m="1" x="1728"/>
        <item m="1" x="1962"/>
        <item m="1" x="2190"/>
        <item m="1" x="39"/>
        <item m="1" x="668"/>
        <item m="1" x="905"/>
        <item m="1" x="1141"/>
        <item m="1" x="1375"/>
        <item m="1" x="1608"/>
        <item m="1" x="1842"/>
        <item m="1" x="2075"/>
        <item m="1" x="2303"/>
        <item m="1" x="151"/>
        <item m="1" x="351"/>
        <item m="1" x="507"/>
        <item m="1" x="733"/>
        <item m="1" x="969"/>
        <item m="1" x="1205"/>
        <item m="1" x="1439"/>
        <item m="1" x="1672"/>
        <item m="1" x="1906"/>
        <item m="1" x="2138"/>
        <item m="1" x="2366"/>
        <item m="1" x="214"/>
        <item m="1" x="405"/>
        <item m="1" x="561"/>
        <item m="1" x="800"/>
        <item m="1" x="1037"/>
        <item m="1" x="1272"/>
        <item m="1" x="1506"/>
        <item m="1" x="1739"/>
        <item m="1" x="1973"/>
        <item m="1" x="2201"/>
        <item m="1" x="49"/>
        <item m="1" x="679"/>
        <item m="1" x="916"/>
        <item m="1" x="1152"/>
        <item m="1" x="1386"/>
        <item m="1" x="1619"/>
        <item m="1" x="1853"/>
        <item m="1" x="2086"/>
        <item m="1" x="2314"/>
        <item m="1" x="162"/>
        <item m="1" x="362"/>
        <item m="1" x="518"/>
        <item m="1" x="749"/>
        <item m="1" x="986"/>
        <item m="1" x="1222"/>
        <item m="1" x="1456"/>
        <item m="1" x="1688"/>
        <item m="1" x="1922"/>
        <item m="1" x="2151"/>
        <item m="1" x="2378"/>
        <item m="1" x="226"/>
        <item m="1" x="417"/>
        <item m="1" x="573"/>
        <item m="1" x="811"/>
        <item m="1" x="1048"/>
        <item m="1" x="1284"/>
        <item m="1" x="1518"/>
        <item m="1" x="1751"/>
        <item m="1" x="1985"/>
        <item m="1" x="2213"/>
        <item m="1" x="60"/>
        <item m="1" x="273"/>
        <item m="1" x="695"/>
        <item m="1" x="931"/>
        <item m="1" x="1167"/>
        <item m="1" x="1401"/>
        <item m="1" x="1634"/>
        <item m="1" x="1868"/>
        <item m="1" x="2101"/>
        <item m="1" x="2329"/>
        <item m="1" x="177"/>
        <item m="1" x="377"/>
        <item m="1" x="533"/>
        <item m="1" x="772"/>
        <item m="1" x="1009"/>
        <item m="1" x="1244"/>
        <item m="1" x="1478"/>
        <item m="1" x="1711"/>
        <item m="1" x="1945"/>
        <item m="1" x="2174"/>
        <item m="1" x="2400"/>
        <item m="1" x="248"/>
        <item m="1" x="431"/>
        <item m="1" x="587"/>
        <item m="1" x="826"/>
        <item m="1" x="1063"/>
        <item m="1" x="1299"/>
        <item m="1" x="1532"/>
        <item m="1" x="1766"/>
        <item m="1" x="1999"/>
        <item m="1" x="2227"/>
        <item m="1" x="75"/>
        <item m="1" x="288"/>
        <item m="1" x="708"/>
        <item m="1" x="944"/>
        <item m="1" x="1180"/>
        <item m="1" x="1414"/>
        <item m="1" x="1647"/>
        <item m="1" x="1881"/>
        <item m="1" x="2114"/>
        <item m="1" x="2342"/>
        <item m="1" x="190"/>
        <item m="1" x="390"/>
        <item m="1" x="546"/>
        <item m="1" x="785"/>
        <item m="1" x="1022"/>
        <item m="1" x="1257"/>
        <item m="1" x="1491"/>
        <item m="1" x="1724"/>
        <item m="1" x="1958"/>
        <item m="1" x="2186"/>
        <item m="1" x="35"/>
        <item m="1" x="254"/>
        <item m="1" x="437"/>
        <item m="1" x="601"/>
        <item m="1" x="841"/>
        <item m="1" x="1078"/>
        <item m="1" x="1314"/>
        <item m="1" x="1547"/>
        <item m="1" x="1781"/>
        <item m="1" x="2014"/>
        <item m="1" x="2242"/>
        <item m="1" x="90"/>
        <item m="1" x="623"/>
        <item m="1" x="861"/>
        <item m="1" x="1098"/>
        <item m="1" x="1333"/>
        <item m="1" x="1566"/>
        <item m="1" x="1800"/>
        <item m="1" x="2033"/>
        <item m="1" x="2261"/>
        <item m="1" x="109"/>
        <item m="1" x="316"/>
        <item m="1" x="479"/>
        <item m="1" x="686"/>
        <item m="1" x="923"/>
        <item m="1" x="1159"/>
        <item m="1" x="1393"/>
        <item m="1" x="1626"/>
        <item m="1" x="1860"/>
        <item m="1" x="2093"/>
        <item m="1" x="2321"/>
        <item m="1" x="169"/>
        <item m="1" x="369"/>
        <item m="1" x="525"/>
        <item m="1" x="756"/>
        <item m="1" x="993"/>
        <item m="1" x="1229"/>
        <item m="1" x="1463"/>
        <item m="1" x="1695"/>
        <item m="1" x="1929"/>
        <item m="1" x="2158"/>
        <item m="1" x="2385"/>
        <item m="1" x="233"/>
        <item m="1" x="636"/>
        <item m="1" x="874"/>
        <item m="1" x="1111"/>
        <item m="1" x="1346"/>
        <item m="1" x="1578"/>
        <item m="1" x="1812"/>
        <item m="1" x="2046"/>
        <item m="1" x="2274"/>
        <item m="1" x="122"/>
        <item m="1" x="323"/>
        <item m="1" x="486"/>
        <item m="1" x="701"/>
        <item m="1" x="937"/>
        <item m="1" x="1173"/>
        <item m="1" x="1407"/>
        <item m="1" x="1640"/>
        <item m="1" x="1874"/>
        <item m="1" x="2107"/>
        <item m="1" x="2335"/>
        <item m="1" x="183"/>
        <item m="1" x="383"/>
        <item m="1" x="539"/>
        <item m="1" x="778"/>
        <item m="1" x="1015"/>
        <item m="1" x="1250"/>
        <item m="1" x="1484"/>
        <item m="1" x="1717"/>
        <item m="1" x="1951"/>
        <item m="1" x="2180"/>
        <item m="1" x="2406"/>
        <item m="1" x="655"/>
        <item m="1" x="893"/>
        <item m="1" x="1129"/>
        <item m="1" x="1363"/>
        <item m="1" x="1596"/>
        <item m="1" x="1830"/>
        <item m="1" x="2064"/>
        <item m="1" x="2292"/>
        <item m="1" x="140"/>
        <item m="1" x="340"/>
        <item m="1" x="496"/>
        <item m="1" x="717"/>
        <item m="1" x="953"/>
        <item m="1" x="1189"/>
        <item m="1" x="1423"/>
        <item m="1" x="1656"/>
        <item m="1" x="1890"/>
        <item m="1" x="2123"/>
        <item m="1" x="2351"/>
        <item m="1" x="199"/>
        <item m="1" x="395"/>
        <item m="1" x="551"/>
        <item m="1" x="790"/>
        <item m="1" x="1027"/>
        <item m="1" x="1262"/>
        <item m="1" x="1496"/>
        <item m="1" x="1729"/>
        <item m="1" x="1963"/>
        <item m="1" x="2191"/>
        <item m="1" x="40"/>
        <item m="1" x="258"/>
        <item m="1" x="670"/>
        <item m="1" x="907"/>
        <item m="1" x="1143"/>
        <item m="1" x="1377"/>
        <item m="1" x="1610"/>
        <item m="1" x="1844"/>
        <item m="1" x="2077"/>
        <item m="1" x="2305"/>
        <item m="1" x="153"/>
        <item m="1" x="353"/>
        <item m="1" x="509"/>
        <item m="1" x="735"/>
        <item m="1" x="971"/>
        <item m="1" x="1207"/>
        <item m="1" x="1441"/>
        <item m="1" x="1674"/>
        <item m="1" x="1908"/>
        <item m="1" x="2139"/>
        <item m="1" x="2367"/>
        <item m="1" x="215"/>
        <item m="1" x="406"/>
        <item m="1" x="562"/>
        <item m="1" x="801"/>
        <item m="1" x="1038"/>
        <item m="1" x="1273"/>
        <item m="1" x="1507"/>
        <item m="1" x="1740"/>
        <item m="1" x="1974"/>
        <item m="1" x="2202"/>
        <item m="1" x="50"/>
        <item m="1" x="681"/>
        <item m="1" x="918"/>
        <item m="1" x="1154"/>
        <item m="1" x="1388"/>
        <item m="1" x="1621"/>
        <item m="1" x="1855"/>
        <item m="1" x="2088"/>
        <item m="1" x="2316"/>
        <item m="1" x="164"/>
        <item m="1" x="364"/>
        <item m="1" x="520"/>
        <item m="1" x="751"/>
        <item m="1" x="988"/>
        <item m="1" x="1224"/>
        <item m="1" x="1458"/>
        <item m="1" x="1690"/>
        <item m="1" x="1924"/>
        <item m="1" x="2153"/>
        <item m="1" x="2380"/>
        <item m="1" x="228"/>
        <item m="1" x="418"/>
        <item m="1" x="574"/>
        <item m="1" x="812"/>
        <item m="1" x="1049"/>
        <item m="1" x="1285"/>
        <item m="1" x="1519"/>
        <item m="1" x="1752"/>
        <item m="1" x="1986"/>
        <item m="1" x="2214"/>
        <item m="1" x="61"/>
        <item m="1" x="274"/>
        <item m="1" x="696"/>
        <item m="1" x="932"/>
        <item m="1" x="1168"/>
        <item m="1" x="1402"/>
        <item m="1" x="1635"/>
        <item m="1" x="1869"/>
        <item m="1" x="2102"/>
        <item m="1" x="2330"/>
        <item m="1" x="178"/>
        <item m="1" x="378"/>
        <item m="1" x="534"/>
        <item m="1" x="773"/>
        <item m="1" x="1010"/>
        <item m="1" x="1245"/>
        <item m="1" x="1479"/>
        <item m="1" x="1712"/>
        <item m="1" x="1946"/>
        <item m="1" x="2175"/>
        <item m="1" x="2401"/>
        <item m="1" x="249"/>
        <item m="1" x="432"/>
        <item m="1" x="588"/>
        <item m="1" x="827"/>
        <item m="1" x="1064"/>
        <item m="1" x="1300"/>
        <item m="1" x="1533"/>
        <item m="1" x="1767"/>
        <item m="1" x="2000"/>
        <item m="1" x="2228"/>
        <item m="1" x="76"/>
        <item m="1" x="289"/>
        <item m="1" x="709"/>
        <item m="1" x="945"/>
        <item m="1" x="1181"/>
        <item m="1" x="1415"/>
        <item m="1" x="1648"/>
        <item m="1" x="1882"/>
        <item m="1" x="2115"/>
        <item m="1" x="2343"/>
        <item m="1" x="191"/>
        <item m="1" x="391"/>
        <item m="1" x="547"/>
        <item m="1" x="786"/>
        <item m="1" x="1023"/>
        <item m="1" x="1258"/>
        <item m="1" x="1492"/>
        <item m="1" x="1725"/>
        <item m="1" x="1959"/>
        <item m="1" x="2187"/>
        <item m="1" x="36"/>
        <item m="1" x="255"/>
        <item m="1" x="438"/>
        <item m="1" x="602"/>
        <item m="1" x="842"/>
        <item m="1" x="1079"/>
        <item m="1" x="1315"/>
        <item m="1" x="1548"/>
        <item m="1" x="1782"/>
        <item m="1" x="2015"/>
        <item m="1" x="2243"/>
        <item m="1" x="91"/>
        <item m="1" x="728"/>
        <item m="1" x="964"/>
        <item m="1" x="1200"/>
        <item m="1" x="1434"/>
        <item m="1" x="1667"/>
        <item m="1" x="1901"/>
        <item m="1" x="2134"/>
        <item m="1" x="2362"/>
        <item m="1" x="210"/>
        <item m="1" x="401"/>
        <item m="1" x="557"/>
        <item m="1" x="796"/>
        <item m="1" x="1033"/>
        <item m="1" x="1268"/>
        <item m="1" x="1502"/>
        <item m="1" x="1735"/>
        <item m="1" x="1969"/>
        <item m="1" x="2197"/>
        <item m="1" x="45"/>
        <item m="1" x="263"/>
        <item m="1" x="443"/>
        <item m="1" x="616"/>
        <item m="1" x="854"/>
        <item m="1" x="1091"/>
        <item m="1" x="1327"/>
        <item m="1" x="1560"/>
        <item m="1" x="1794"/>
        <item m="1" x="2027"/>
        <item m="1" x="2255"/>
        <item m="1" x="103"/>
        <item m="1" x="310"/>
        <item m="1" x="745"/>
        <item m="1" x="982"/>
        <item m="1" x="1218"/>
        <item m="1" x="1452"/>
        <item m="1" x="1684"/>
        <item m="1" x="1918"/>
        <item m="1" x="2147"/>
        <item m="1" x="2374"/>
        <item m="1" x="222"/>
        <item m="1" x="413"/>
        <item m="1" x="569"/>
        <item m="1" x="807"/>
        <item m="1" x="1044"/>
        <item m="1" x="1280"/>
        <item m="1" x="1514"/>
        <item m="1" x="1747"/>
        <item m="1" x="1981"/>
        <item m="1" x="2209"/>
        <item m="1" x="56"/>
        <item m="1" x="269"/>
        <item m="1" x="449"/>
        <item m="1" x="630"/>
        <item m="1" x="868"/>
        <item m="1" x="1105"/>
        <item m="1" x="1340"/>
        <item m="1" x="1572"/>
        <item m="1" x="1806"/>
        <item m="1" x="2040"/>
        <item m="1" x="2268"/>
        <item m="1" x="116"/>
        <item m="1" x="767"/>
        <item m="1" x="1004"/>
        <item m="1" x="1239"/>
        <item m="1" x="1473"/>
        <item m="1" x="1706"/>
        <item m="1" x="1940"/>
        <item m="1" x="2169"/>
        <item m="1" x="2395"/>
        <item m="1" x="244"/>
        <item m="1" x="427"/>
        <item m="1" x="583"/>
        <item m="1" x="822"/>
        <item m="1" x="1059"/>
        <item m="1" x="1295"/>
        <item m="1" x="1528"/>
        <item m="1" x="1762"/>
        <item m="1" x="1995"/>
        <item m="1" x="2223"/>
        <item m="1" x="71"/>
        <item m="1" x="284"/>
        <item m="1" x="457"/>
        <item m="1" x="645"/>
        <item m="1" x="883"/>
        <item m="1" x="1120"/>
        <item m="1" x="1354"/>
        <item m="1" x="1587"/>
        <item m="1" x="1821"/>
        <item m="1" x="2055"/>
        <item m="1" x="2283"/>
        <item m="1" x="131"/>
        <item m="1" x="331"/>
        <item m="1" x="596"/>
        <item m="1" x="836"/>
        <item m="1" x="1073"/>
        <item m="1" x="1309"/>
        <item m="1" x="1542"/>
        <item m="1" x="1776"/>
        <item m="1" x="2009"/>
        <item m="1" x="2237"/>
        <item m="1" x="85"/>
        <item m="1" x="298"/>
        <item m="1" x="466"/>
        <item m="1" x="661"/>
        <item m="1" x="898"/>
        <item m="1" x="1134"/>
        <item m="1" x="1368"/>
        <item m="1" x="1601"/>
        <item m="1" x="1835"/>
        <item m="1" x="2069"/>
        <item m="1" x="2297"/>
        <item m="1" x="145"/>
        <item m="1" x="345"/>
        <item m="1" x="501"/>
        <item m="1" x="722"/>
        <item m="1" x="958"/>
        <item m="1" x="1194"/>
        <item m="1" x="1428"/>
        <item m="1" x="1661"/>
        <item m="1" x="1895"/>
        <item m="1" x="2128"/>
        <item m="1" x="2356"/>
        <item m="1" x="204"/>
        <item m="1" x="611"/>
        <item m="1" x="849"/>
        <item m="1" x="1086"/>
        <item m="1" x="1322"/>
        <item m="1" x="1555"/>
        <item m="1" x="1789"/>
        <item m="1" x="2022"/>
        <item m="1" x="2250"/>
        <item m="1" x="98"/>
        <item m="1" x="305"/>
        <item m="1" x="473"/>
        <item m="1" x="674"/>
        <item m="1" x="911"/>
        <item m="1" x="1147"/>
        <item m="1" x="1381"/>
        <item m="1" x="1614"/>
        <item m="1" x="1848"/>
        <item m="1" x="2081"/>
        <item m="1" x="2309"/>
        <item m="1" x="157"/>
        <item m="1" x="357"/>
        <item m="1" x="513"/>
        <item m="1" x="739"/>
        <item m="1" x="975"/>
        <item m="1" x="1211"/>
        <item m="1" x="1445"/>
        <item m="1" x="1678"/>
        <item m="1" x="1912"/>
        <item m="1" x="2141"/>
        <item m="1" x="624"/>
        <item m="1" x="862"/>
        <item m="1" x="1099"/>
        <item m="1" x="1334"/>
        <item m="1" x="1567"/>
        <item m="1" x="1801"/>
        <item m="1" x="2034"/>
        <item m="1" x="2262"/>
        <item m="1" x="110"/>
        <item m="1" x="317"/>
        <item m="1" x="480"/>
        <item m="1" x="687"/>
        <item m="1" x="924"/>
        <item m="1" x="1160"/>
        <item m="1" x="1394"/>
        <item m="1" x="1627"/>
        <item m="1" x="1861"/>
        <item m="1" x="2094"/>
        <item m="1" x="2322"/>
        <item m="1" x="170"/>
        <item m="1" x="370"/>
        <item m="1" x="526"/>
        <item m="1" x="757"/>
        <item m="1" x="994"/>
        <item m="1" x="1230"/>
        <item m="1" x="1464"/>
        <item m="1" x="1696"/>
        <item m="1" x="1930"/>
        <item m="1" x="2159"/>
        <item m="1" x="2386"/>
        <item m="1" x="234"/>
        <item m="1" x="637"/>
        <item m="1" x="875"/>
        <item m="1" x="1112"/>
        <item m="1" x="1347"/>
        <item m="1" x="1579"/>
        <item m="1" x="1813"/>
        <item m="1" x="2047"/>
        <item m="1" x="2275"/>
        <item m="1" x="123"/>
        <item m="1" x="324"/>
        <item m="1" x="487"/>
        <item m="1" x="702"/>
        <item m="1" x="938"/>
        <item m="1" x="1174"/>
        <item m="1" x="1408"/>
        <item m="1" x="1641"/>
        <item m="1" x="1875"/>
        <item m="1" x="2108"/>
        <item m="1" x="2336"/>
        <item m="1" x="184"/>
        <item m="1" x="384"/>
        <item m="1" x="540"/>
        <item m="1" x="779"/>
        <item m="1" x="1016"/>
        <item m="1" x="1251"/>
        <item m="1" x="1485"/>
        <item m="1" x="1718"/>
        <item m="1" x="1952"/>
        <item m="1" x="2181"/>
        <item m="1" x="2407"/>
        <item m="1" x="656"/>
        <item m="1" x="894"/>
        <item m="1" x="1130"/>
        <item m="1" x="1364"/>
        <item m="1" x="1597"/>
        <item m="1" x="1831"/>
        <item m="1" x="2065"/>
        <item m="1" x="2293"/>
        <item m="1" x="141"/>
        <item m="1" x="341"/>
        <item m="1" x="497"/>
        <item m="1" x="718"/>
        <item m="1" x="954"/>
        <item m="1" x="1190"/>
        <item m="1" x="1424"/>
        <item m="1" x="1657"/>
        <item m="1" x="1891"/>
        <item m="1" x="2124"/>
        <item m="1" x="2352"/>
        <item m="1" x="200"/>
        <item m="1" x="396"/>
        <item m="1" x="552"/>
        <item m="1" x="791"/>
        <item m="1" x="1028"/>
        <item m="1" x="1263"/>
        <item m="1" x="1497"/>
        <item m="1" x="1730"/>
        <item m="1" x="1964"/>
        <item m="1" x="2192"/>
        <item m="1" x="41"/>
        <item m="1" x="259"/>
        <item m="1" x="671"/>
        <item m="1" x="908"/>
        <item m="1" x="1144"/>
        <item m="1" x="1378"/>
        <item m="1" x="1611"/>
        <item m="1" x="1845"/>
        <item m="1" x="2078"/>
        <item m="1" x="2306"/>
        <item m="1" x="154"/>
        <item m="1" x="354"/>
        <item m="1" x="510"/>
        <item m="1" x="736"/>
        <item m="1" x="972"/>
        <item m="1" x="1208"/>
        <item m="1" x="1442"/>
        <item m="1" x="1675"/>
        <item m="1" x="1909"/>
        <item m="1" x="2140"/>
        <item m="1" x="2368"/>
        <item m="1" x="216"/>
        <item m="1" x="407"/>
        <item m="1" x="563"/>
        <item m="1" x="802"/>
        <item m="1" x="1039"/>
        <item m="1" x="1274"/>
        <item m="1" x="1508"/>
        <item m="1" x="1741"/>
        <item m="1" x="1975"/>
        <item m="1" x="2203"/>
        <item m="1" x="51"/>
        <item m="1" x="683"/>
        <item m="1" x="920"/>
        <item m="1" x="1156"/>
        <item m="1" x="1390"/>
        <item m="1" x="1623"/>
        <item m="1" x="1857"/>
        <item m="1" x="2090"/>
        <item m="1" x="2318"/>
        <item m="1" x="166"/>
        <item m="1" x="366"/>
        <item m="1" x="522"/>
        <item m="1" x="753"/>
        <item m="1" x="990"/>
        <item m="1" x="1226"/>
        <item m="1" x="1460"/>
        <item m="1" x="1692"/>
        <item m="1" x="1926"/>
        <item m="1" x="2155"/>
        <item m="1" x="2382"/>
        <item m="1" x="230"/>
        <item m="1" x="419"/>
        <item m="1" x="575"/>
        <item m="1" x="813"/>
        <item m="1" x="1050"/>
        <item m="1" x="1286"/>
        <item m="1" x="1520"/>
        <item m="1" x="1753"/>
        <item m="1" x="1987"/>
        <item m="1" x="2215"/>
        <item m="1" x="62"/>
        <item m="1" x="275"/>
        <item m="1" x="698"/>
        <item m="1" x="934"/>
        <item m="1" x="1170"/>
        <item m="1" x="1404"/>
        <item m="1" x="1637"/>
        <item m="1" x="1871"/>
        <item m="1" x="2104"/>
        <item m="1" x="2332"/>
        <item m="1" x="180"/>
        <item m="1" x="380"/>
        <item m="1" x="536"/>
        <item m="1" x="775"/>
        <item m="1" x="1012"/>
        <item m="1" x="1247"/>
        <item m="1" x="1481"/>
        <item m="1" x="1714"/>
        <item m="1" x="1948"/>
        <item m="1" x="2177"/>
        <item m="1" x="2403"/>
        <item m="1" x="250"/>
        <item m="1" x="433"/>
        <item m="1" x="589"/>
        <item m="1" x="828"/>
        <item m="1" x="1065"/>
        <item m="1" x="1301"/>
        <item m="1" x="1534"/>
        <item m="1" x="1768"/>
        <item m="1" x="2001"/>
        <item m="1" x="2229"/>
        <item m="1" x="77"/>
        <item m="1" x="290"/>
        <item m="1" x="710"/>
        <item m="1" x="946"/>
        <item m="1" x="1182"/>
        <item m="1" x="1416"/>
        <item m="1" x="1649"/>
        <item m="1" x="1883"/>
        <item m="1" x="2116"/>
        <item m="1" x="2344"/>
        <item m="1" x="192"/>
        <item m="1" x="392"/>
        <item m="1" x="548"/>
        <item m="1" x="787"/>
        <item m="1" x="1024"/>
        <item m="1" x="1259"/>
        <item m="1" x="1493"/>
        <item m="1" x="1726"/>
        <item m="1" x="1960"/>
        <item m="1" x="2188"/>
        <item m="1" x="37"/>
        <item m="1" x="256"/>
        <item m="1" x="439"/>
        <item m="1" x="603"/>
        <item m="1" x="843"/>
        <item m="1" x="1080"/>
        <item m="1" x="1316"/>
        <item m="1" x="1549"/>
        <item m="1" x="1783"/>
        <item m="1" x="2016"/>
        <item m="1" x="2244"/>
        <item m="1" x="92"/>
        <item m="1" x="730"/>
        <item m="1" x="966"/>
        <item m="1" x="1202"/>
        <item m="1" x="1436"/>
        <item m="1" x="1669"/>
        <item m="1" x="1903"/>
        <item m="1" x="2136"/>
        <item m="1" x="2364"/>
        <item m="1" x="212"/>
        <item m="1" x="403"/>
        <item m="1" x="559"/>
        <item m="1" x="798"/>
        <item m="1" x="1035"/>
        <item m="1" x="1270"/>
        <item m="1" x="1504"/>
        <item m="1" x="1737"/>
        <item m="1" x="1971"/>
        <item m="1" x="2199"/>
        <item m="1" x="47"/>
        <item m="1" x="264"/>
        <item m="1" x="444"/>
        <item m="1" x="617"/>
        <item m="1" x="855"/>
        <item m="1" x="1092"/>
        <item m="1" x="1328"/>
        <item m="1" x="1561"/>
        <item m="1" x="1795"/>
        <item m="1" x="2028"/>
        <item m="1" x="2256"/>
        <item m="1" x="104"/>
        <item m="1" x="311"/>
        <item m="1" x="747"/>
        <item m="1" x="984"/>
        <item m="1" x="1220"/>
        <item m="1" x="1454"/>
        <item m="1" x="1686"/>
        <item m="1" x="1920"/>
        <item m="1" x="2149"/>
        <item m="1" x="2376"/>
        <item m="1" x="224"/>
        <item m="1" x="415"/>
        <item m="1" x="571"/>
        <item m="1" x="809"/>
        <item m="1" x="1046"/>
        <item m="1" x="1282"/>
        <item m="1" x="1516"/>
        <item m="1" x="1749"/>
        <item m="1" x="1983"/>
        <item m="1" x="2211"/>
        <item m="1" x="58"/>
        <item m="1" x="271"/>
        <item m="1" x="450"/>
        <item m="1" x="631"/>
        <item m="1" x="869"/>
        <item m="1" x="1106"/>
        <item m="1" x="1341"/>
        <item m="1" x="1573"/>
        <item m="1" x="1807"/>
        <item m="1" x="2041"/>
        <item m="1" x="2269"/>
        <item m="1" x="117"/>
        <item m="1" x="769"/>
        <item m="1" x="1006"/>
        <item m="1" x="1241"/>
        <item m="1" x="1475"/>
        <item m="1" x="1708"/>
        <item m="1" x="1942"/>
        <item m="1" x="2171"/>
        <item m="1" x="2397"/>
        <item m="1" x="246"/>
        <item m="1" x="429"/>
        <item m="1" x="585"/>
        <item m="1" x="824"/>
        <item m="1" x="1061"/>
        <item m="1" x="1297"/>
        <item m="1" x="1530"/>
        <item m="1" x="1764"/>
        <item m="1" x="1997"/>
        <item m="1" x="2225"/>
        <item m="1" x="73"/>
        <item m="1" x="286"/>
        <item m="1" x="458"/>
        <item m="1" x="646"/>
        <item m="1" x="884"/>
        <item m="1" x="1121"/>
        <item m="1" x="1355"/>
        <item m="1" x="1588"/>
        <item m="1" x="1822"/>
        <item m="1" x="2056"/>
        <item m="1" x="2284"/>
        <item m="1" x="132"/>
        <item m="1" x="332"/>
        <item m="1" x="597"/>
        <item m="1" x="837"/>
        <item m="1" x="1074"/>
        <item m="1" x="1310"/>
        <item m="1" x="1543"/>
        <item m="1" x="1777"/>
        <item m="1" x="2010"/>
        <item m="1" x="2238"/>
        <item m="1" x="86"/>
        <item m="1" x="299"/>
        <item m="1" x="467"/>
        <item m="1" x="662"/>
        <item m="1" x="899"/>
        <item m="1" x="1135"/>
        <item m="1" x="1369"/>
        <item m="1" x="1602"/>
        <item m="1" x="1836"/>
        <item m="1" x="2070"/>
        <item m="1" x="2298"/>
        <item m="1" x="146"/>
        <item m="1" x="346"/>
        <item m="1" x="502"/>
        <item m="1" x="723"/>
        <item m="1" x="959"/>
        <item m="1" x="1195"/>
        <item m="1" x="1429"/>
        <item m="1" x="1662"/>
        <item m="1" x="1896"/>
        <item m="1" x="2129"/>
        <item m="1" x="2357"/>
        <item m="1" x="205"/>
        <item m="1" x="612"/>
        <item m="1" x="850"/>
        <item m="1" x="1087"/>
        <item m="1" x="1323"/>
        <item m="1" x="1556"/>
        <item m="1" x="1790"/>
        <item m="1" x="2023"/>
        <item m="1" x="2251"/>
        <item m="1" x="99"/>
        <item m="1" x="306"/>
        <item m="1" x="474"/>
        <item m="1" x="675"/>
        <item m="1" x="912"/>
        <item m="1" x="1148"/>
        <item m="1" x="1382"/>
        <item m="1" x="1615"/>
        <item m="1" x="1849"/>
        <item m="1" x="2082"/>
        <item m="1" x="2310"/>
        <item m="1" x="158"/>
        <item m="1" x="358"/>
        <item m="1" x="514"/>
        <item m="1" x="740"/>
        <item m="1" x="976"/>
        <item m="1" x="1212"/>
        <item m="1" x="1446"/>
        <item m="1" x="1679"/>
        <item m="1" x="1913"/>
        <item m="1" x="626"/>
        <item m="1" x="864"/>
        <item m="1" x="1101"/>
        <item m="1" x="1336"/>
        <item m="1" x="1568"/>
        <item m="1" x="1802"/>
        <item m="1" x="2036"/>
        <item m="1" x="2264"/>
        <item m="1" x="112"/>
        <item m="1" x="318"/>
        <item m="1" x="481"/>
        <item m="1" x="688"/>
        <item m="1" x="925"/>
        <item m="1" x="1161"/>
        <item m="1" x="1395"/>
        <item m="1" x="1628"/>
        <item m="1" x="1862"/>
        <item m="1" x="2095"/>
        <item m="1" x="2323"/>
        <item m="1" x="171"/>
        <item m="1" x="371"/>
        <item m="1" x="527"/>
        <item m="1" x="758"/>
        <item m="1" x="995"/>
        <item m="1" x="1231"/>
        <item m="1" x="1465"/>
        <item m="1" x="1697"/>
        <item m="1" x="1931"/>
        <item m="1" x="2160"/>
        <item m="1" x="2387"/>
        <item m="1" x="235"/>
        <item m="1" x="639"/>
        <item m="1" x="877"/>
        <item m="1" x="1114"/>
        <item m="1" x="1349"/>
        <item m="1" x="1581"/>
        <item m="1" x="1815"/>
        <item m="1" x="2049"/>
        <item m="1" x="2277"/>
        <item m="1" x="125"/>
        <item m="1" x="326"/>
        <item m="1" x="488"/>
        <item m="1" x="703"/>
        <item m="1" x="939"/>
        <item m="1" x="1175"/>
        <item m="1" x="1409"/>
        <item m="1" x="1642"/>
        <item m="1" x="1876"/>
        <item m="1" x="2109"/>
        <item m="1" x="2337"/>
        <item m="1" x="185"/>
        <item m="1" x="385"/>
        <item m="1" x="541"/>
        <item m="1" x="780"/>
        <item m="1" x="1017"/>
        <item m="1" x="1252"/>
        <item m="1" x="1486"/>
        <item m="1" x="1719"/>
        <item m="1" x="1953"/>
        <item m="1" x="2182"/>
        <item m="1" x="2408"/>
        <item m="1" x="6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compact="0" outline="0" subtotalTop="0" showAll="0" includeNewItemsInFilter="1"/>
  </pivotFields>
  <rowFields count="1">
    <field x="0"/>
  </rowFields>
  <rowItems count="32"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 t="grand">
      <x/>
    </i>
  </rowItems>
  <colItems count="1">
    <i/>
  </colItems>
  <dataFields count="1">
    <dataField name="Suma de Monto" fld="1" baseField="0" baseItem="0" numFmtId="166"/>
  </dataFields>
  <formats count="4">
    <format dxfId="24">
      <pivotArea outline="0" fieldPosition="0"/>
    </format>
    <format dxfId="23">
      <pivotArea type="topRight" dataOnly="0" labelOnly="1" outline="0" fieldPosition="0"/>
    </format>
    <format dxfId="22">
      <pivotArea dataOnly="0" labelOnly="1" outline="0" fieldPosition="0">
        <references count="1">
          <reference field="0" count="1">
            <x v="4"/>
          </reference>
        </references>
      </pivotArea>
    </format>
    <format dxfId="2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 dinámica3" cacheId="9" dataOnRows="1" applyNumberFormats="0" applyBorderFormats="0" applyFontFormats="0" applyPatternFormats="0" applyAlignmentFormats="0" applyWidthHeightFormats="1" dataCaption="Datos" updatedVersion="7" minRefreshableVersion="3" asteriskTotals="1" showMemberPropertyTips="0" useAutoFormatting="1" itemPrintTitles="1" createdVersion="3" indent="0" compact="0" compactData="0" gridDropZones="1">
  <location ref="G3:H5" firstHeaderRow="2" firstDataRow="2" firstDataCol="1"/>
  <pivotFields count="2">
    <pivotField axis="axisRow" compact="0" outline="0" subtotalTop="0" showAll="0" includeNewItemsInFilter="1">
      <items count="2243">
        <item m="1" x="535"/>
        <item h="1" x="0"/>
        <item m="1" x="760"/>
        <item m="1" x="988"/>
        <item m="1" x="1209"/>
        <item m="1" x="1421"/>
        <item m="1" x="1645"/>
        <item m="1" x="1860"/>
        <item m="1" x="2076"/>
        <item m="1" x="45"/>
        <item m="1" x="246"/>
        <item m="1" x="409"/>
        <item m="1" x="590"/>
        <item m="1" x="816"/>
        <item m="1" x="1041"/>
        <item m="1" x="1258"/>
        <item m="1" x="1475"/>
        <item m="1" x="1696"/>
        <item m="1" x="1913"/>
        <item m="1" x="2127"/>
        <item m="1" x="95"/>
        <item m="1" x="285"/>
        <item m="1" x="437"/>
        <item m="1" x="648"/>
        <item m="1" x="873"/>
        <item m="1" x="1096"/>
        <item m="1" x="1312"/>
        <item m="1" x="1531"/>
        <item m="1" x="1749"/>
        <item m="1" x="1969"/>
        <item m="1" x="2184"/>
        <item m="1" x="154"/>
        <item m="1" x="546"/>
        <item m="1" x="627"/>
        <item m="1" x="854"/>
        <item m="1" x="1001"/>
        <item m="1" x="1077"/>
        <item m="1" x="1293"/>
        <item m="1" x="1512"/>
        <item m="1" x="1730"/>
        <item m="1" x="1950"/>
        <item m="1" x="2164"/>
        <item m="1" x="131"/>
        <item m="1" x="322"/>
        <item m="1" x="472"/>
        <item m="1" x="698"/>
        <item m="1" x="924"/>
        <item m="1" x="1144"/>
        <item m="1" x="1359"/>
        <item m="1" x="1578"/>
        <item m="1" x="1796"/>
        <item m="1" x="2014"/>
        <item m="1" x="2226"/>
        <item m="1" x="196"/>
        <item m="1" x="373"/>
        <item m="1" x="523"/>
        <item m="1" x="748"/>
        <item m="1" x="976"/>
        <item m="1" x="1198"/>
        <item m="1" x="1410"/>
        <item m="1" x="1633"/>
        <item m="1" x="1849"/>
        <item m="1" x="2065"/>
        <item m="1" x="34"/>
        <item m="1" x="235"/>
        <item m="1" x="902"/>
        <item m="1" x="1125"/>
        <item m="1" x="1340"/>
        <item m="1" x="1993"/>
        <item m="1" x="2207"/>
        <item m="1" x="177"/>
        <item m="1" x="356"/>
        <item m="1" x="506"/>
        <item m="1" x="1182"/>
        <item m="1" x="1395"/>
        <item m="1" x="1616"/>
        <item m="1" x="1833"/>
        <item m="1" x="2048"/>
        <item m="1" x="395"/>
        <item m="1" x="566"/>
        <item m="1" x="791"/>
        <item m="1" x="1020"/>
        <item m="1" x="1239"/>
        <item m="1" x="1891"/>
        <item m="1" x="2105"/>
        <item m="1" x="73"/>
        <item m="1" x="694"/>
        <item m="1" x="920"/>
        <item m="1" x="1574"/>
        <item m="1" x="1792"/>
        <item m="1" x="2010"/>
        <item m="1" x="192"/>
        <item m="1" x="744"/>
        <item m="1" x="972"/>
        <item m="1" x="1194"/>
        <item m="1" x="1407"/>
        <item m="1" x="1629"/>
        <item m="1" x="30"/>
        <item m="1" x="231"/>
        <item m="1" x="401"/>
        <item m="1" x="579"/>
        <item m="1" x="805"/>
        <item m="1" x="1464"/>
        <item m="1" x="1686"/>
        <item m="1" x="1903"/>
        <item m="1" x="2117"/>
        <item m="1" x="85"/>
        <item m="1" x="573"/>
        <item m="1" x="798"/>
        <item m="1" x="1027"/>
        <item m="1" x="1246"/>
        <item m="1" x="1458"/>
        <item m="1" x="1680"/>
        <item m="1" x="1897"/>
        <item m="1" x="2111"/>
        <item m="1" x="79"/>
        <item m="1" x="271"/>
        <item m="1" x="429"/>
        <item m="1" x="631"/>
        <item m="1" x="858"/>
        <item m="1" x="1081"/>
        <item m="1" x="1297"/>
        <item m="1" x="1516"/>
        <item m="1" x="1734"/>
        <item m="1" x="1954"/>
        <item m="1" x="2168"/>
        <item m="1" x="135"/>
        <item m="1" x="326"/>
        <item m="1" x="476"/>
        <item m="1" x="705"/>
        <item m="1" x="932"/>
        <item m="1" x="1152"/>
        <item m="1" x="1366"/>
        <item m="1" x="1586"/>
        <item m="1" x="1805"/>
        <item m="1" x="2022"/>
        <item m="1" x="2234"/>
        <item m="1" x="588"/>
        <item m="1" x="814"/>
        <item m="1" x="695"/>
        <item m="1" x="921"/>
        <item m="1" x="903"/>
        <item m="1" x="1141"/>
        <item m="1" x="1356"/>
        <item m="1" x="1575"/>
        <item m="1" x="1793"/>
        <item m="1" x="2011"/>
        <item m="1" x="2223"/>
        <item m="1" x="193"/>
        <item m="1" x="370"/>
        <item m="1" x="520"/>
        <item m="1" x="745"/>
        <item m="1" x="973"/>
        <item m="1" x="1195"/>
        <item m="1" x="1408"/>
        <item m="1" x="1630"/>
        <item m="1" x="1846"/>
        <item m="1" x="2062"/>
        <item m="1" x="31"/>
        <item m="1" x="232"/>
        <item m="1" x="402"/>
        <item m="1" x="300"/>
        <item m="1" x="581"/>
        <item m="1" x="807"/>
        <item m="1" x="1034"/>
        <item m="1" x="1466"/>
        <item m="1" x="1253"/>
        <item m="1" x="1688"/>
        <item m="1" x="1905"/>
        <item m="1" x="2119"/>
        <item m="1" x="87"/>
        <item m="1" x="278"/>
        <item m="1" x="761"/>
        <item m="1" x="989"/>
        <item m="1" x="1142"/>
        <item m="1" x="1210"/>
        <item m="1" x="1423"/>
        <item m="1" x="1422"/>
        <item m="1" x="1646"/>
        <item m="1" x="1861"/>
        <item m="1" x="2077"/>
        <item m="1" x="46"/>
        <item m="1" x="247"/>
        <item m="1" x="410"/>
        <item m="1" x="592"/>
        <item m="1" x="818"/>
        <item m="1" x="1043"/>
        <item m="1" x="1260"/>
        <item m="1" x="1477"/>
        <item m="1" x="1698"/>
        <item m="1" x="1915"/>
        <item m="1" x="2129"/>
        <item m="1" x="97"/>
        <item m="1" x="287"/>
        <item m="1" x="439"/>
        <item m="1" x="650"/>
        <item m="1" x="875"/>
        <item m="1" x="1098"/>
        <item m="1" x="1314"/>
        <item m="1" x="1533"/>
        <item m="1" x="1751"/>
        <item m="1" x="1971"/>
        <item m="1" x="2186"/>
        <item m="1" x="156"/>
        <item m="1" x="547"/>
        <item m="1" x="773"/>
        <item m="1" x="1002"/>
        <item m="1" x="1222"/>
        <item m="1" x="1435"/>
        <item m="1" x="1658"/>
        <item m="1" x="1873"/>
        <item m="1" x="2089"/>
        <item m="1" x="58"/>
        <item m="1" x="254"/>
        <item m="1" x="417"/>
        <item m="1" x="605"/>
        <item m="1" x="832"/>
        <item m="1" x="828"/>
        <item m="1" x="1056"/>
        <item m="1" x="1272"/>
        <item m="1" x="1309"/>
        <item m="1" x="1489"/>
        <item m="1" x="1711"/>
        <item m="1" x="1929"/>
        <item m="1" x="2144"/>
        <item m="1" x="110"/>
        <item m="1" x="301"/>
        <item m="1" x="452"/>
        <item m="1" x="669"/>
        <item m="1" x="893"/>
        <item m="1" x="1116"/>
        <item m="1" x="1332"/>
        <item m="1" x="1551"/>
        <item m="1" x="1769"/>
        <item m="1" x="559"/>
        <item m="1" x="785"/>
        <item m="1" x="1014"/>
        <item m="1" x="589"/>
        <item m="1" x="799"/>
        <item m="1" x="815"/>
        <item m="1" x="1040"/>
        <item m="1" x="1257"/>
        <item m="1" x="1473"/>
        <item m="1" x="1695"/>
        <item m="1" x="1912"/>
        <item m="1" x="2126"/>
        <item m="1" x="94"/>
        <item m="1" x="284"/>
        <item m="1" x="436"/>
        <item m="1" x="644"/>
        <item m="1" x="870"/>
        <item m="1" x="1093"/>
        <item m="1" x="1528"/>
        <item m="1" x="1746"/>
        <item m="1" x="1966"/>
        <item m="1" x="2181"/>
        <item m="1" x="151"/>
        <item m="1" x="338"/>
        <item m="1" x="489"/>
        <item m="1" x="717"/>
        <item m="1" x="944"/>
        <item m="1" x="1165"/>
        <item m="1" x="1378"/>
        <item m="1" x="1597"/>
        <item m="1" x="1816"/>
        <item m="1" x="2032"/>
        <item m="1" x="3"/>
        <item m="1" x="209"/>
        <item m="1" x="602"/>
        <item m="1" x="829"/>
        <item m="1" x="1053"/>
        <item m="1" x="1269"/>
        <item m="1" x="1486"/>
        <item m="1" x="1708"/>
        <item m="1" x="1926"/>
        <item m="1" x="2141"/>
        <item m="1" x="107"/>
        <item m="1" x="297"/>
        <item m="1" x="449"/>
        <item m="1" x="664"/>
        <item m="1" x="888"/>
        <item m="1" x="1111"/>
        <item m="1" x="1327"/>
        <item m="1" x="1546"/>
        <item m="1" x="1764"/>
        <item m="1" x="1983"/>
        <item m="1" x="2199"/>
        <item m="1" x="169"/>
        <item m="1" x="348"/>
        <item m="1" x="498"/>
        <item m="1" x="485"/>
        <item m="1" x="726"/>
        <item m="1" x="953"/>
        <item m="1" x="1174"/>
        <item m="1" x="1387"/>
        <item m="1" x="1606"/>
        <item m="1" x="1825"/>
        <item m="1" x="2041"/>
        <item m="1" x="614"/>
        <item m="1" x="842"/>
        <item m="1" x="1065"/>
        <item m="1" x="1281"/>
        <item m="1" x="1499"/>
        <item m="1" x="1720"/>
        <item m="1" x="1939"/>
        <item m="1" x="1938"/>
        <item m="1" x="2153"/>
        <item m="1" x="119"/>
        <item m="1" x="311"/>
        <item m="1" x="461"/>
        <item m="1" x="681"/>
        <item m="1" x="907"/>
        <item m="1" x="1129"/>
        <item m="1" x="1344"/>
        <item m="1" x="1562"/>
        <item m="1" x="1780"/>
        <item m="1" x="1997"/>
        <item m="1" x="2211"/>
        <item m="1" x="181"/>
        <item m="1" x="360"/>
        <item m="1" x="510"/>
        <item m="1" x="737"/>
        <item m="1" x="964"/>
        <item m="1" x="1186"/>
        <item m="1" x="1399"/>
        <item m="1" x="1620"/>
        <item m="1" x="1837"/>
        <item m="1" x="2052"/>
        <item m="1" x="22"/>
        <item m="1" x="223"/>
        <item m="1" x="628"/>
        <item m="1" x="855"/>
        <item m="1" x="1078"/>
        <item m="1" x="1294"/>
        <item m="1" x="1513"/>
        <item m="1" x="1731"/>
        <item m="1" x="1951"/>
        <item m="1" x="2165"/>
        <item m="1" x="132"/>
        <item m="1" x="323"/>
        <item m="1" x="473"/>
        <item m="1" x="700"/>
        <item m="1" x="927"/>
        <item m="1" x="1147"/>
        <item m="1" x="1362"/>
        <item m="1" x="1581"/>
        <item m="1" x="1799"/>
        <item m="1" x="2017"/>
        <item m="1" x="2229"/>
        <item m="1" x="199"/>
        <item m="1" x="376"/>
        <item m="1" x="526"/>
        <item m="1" x="751"/>
        <item m="1" x="979"/>
        <item m="1" x="1201"/>
        <item m="1" x="1413"/>
        <item m="1" x="1636"/>
        <item m="1" x="1852"/>
        <item m="1" x="2068"/>
        <item m="1" x="37"/>
        <item m="1" x="238"/>
        <item m="1" x="641"/>
        <item m="1" x="867"/>
        <item m="1" x="1090"/>
        <item m="1" x="1306"/>
        <item m="1" x="1525"/>
        <item m="1" x="1743"/>
        <item m="1" x="1963"/>
        <item m="1" x="2177"/>
        <item m="1" x="148"/>
        <item m="1" x="335"/>
        <item m="1" x="486"/>
        <item m="1" x="714"/>
        <item m="1" x="941"/>
        <item m="1" x="1162"/>
        <item m="1" x="1375"/>
        <item m="1" x="1594"/>
        <item m="1" x="1813"/>
        <item m="1" x="385"/>
        <item m="1" x="541"/>
        <item m="1" x="768"/>
        <item m="1" x="996"/>
        <item m="1" x="1217"/>
        <item m="1" x="1430"/>
        <item m="1" x="1653"/>
        <item m="1" x="1868"/>
        <item m="1" x="2084"/>
        <item m="1" x="53"/>
        <item m="1" x="661"/>
        <item m="1" x="885"/>
        <item m="1" x="1108"/>
        <item m="1" x="1324"/>
        <item m="1" x="1543"/>
        <item m="1" x="1761"/>
        <item m="1" x="1980"/>
        <item m="1" x="2196"/>
        <item m="1" x="166"/>
        <item m="1" x="345"/>
        <item m="1" x="495"/>
        <item m="1" x="723"/>
        <item m="1" x="950"/>
        <item m="1" x="1171"/>
        <item m="1" x="1384"/>
        <item m="1" x="1603"/>
        <item m="1" x="1822"/>
        <item m="1" x="2038"/>
        <item m="1" x="9"/>
        <item m="1" x="215"/>
        <item m="1" x="390"/>
        <item m="1" x="554"/>
        <item m="1" x="780"/>
        <item m="1" x="1009"/>
        <item m="1" x="1229"/>
        <item m="1" x="1443"/>
        <item m="1" x="1665"/>
        <item m="1" x="1881"/>
        <item m="1" x="2095"/>
        <item m="1" x="64"/>
        <item m="1" x="260"/>
        <item m="1" x="678"/>
        <item m="1" x="904"/>
        <item m="1" x="1126"/>
        <item m="1" x="1341"/>
        <item m="1" x="1559"/>
        <item m="1" x="1777"/>
        <item m="1" x="1994"/>
        <item m="1" x="2208"/>
        <item m="1" x="178"/>
        <item m="1" x="357"/>
        <item m="1" x="507"/>
        <item m="1" x="734"/>
        <item m="1" x="961"/>
        <item m="1" x="1183"/>
        <item m="1" x="1396"/>
        <item m="1" x="1617"/>
        <item m="1" x="1834"/>
        <item m="1" x="2049"/>
        <item m="1" x="19"/>
        <item m="1" x="220"/>
        <item m="1" x="396"/>
        <item m="1" x="568"/>
        <item m="1" x="793"/>
        <item m="1" x="1022"/>
        <item m="1" x="1241"/>
        <item m="1" x="1454"/>
        <item m="1" x="1676"/>
        <item m="1" x="1893"/>
        <item m="1" x="2107"/>
        <item m="1" x="75"/>
        <item m="1" x="696"/>
        <item m="1" x="922"/>
        <item m="1" x="1357"/>
        <item m="1" x="1576"/>
        <item m="1" x="1794"/>
        <item m="1" x="2012"/>
        <item m="1" x="2224"/>
        <item m="1" x="194"/>
        <item m="1" x="371"/>
        <item m="1" x="521"/>
        <item m="1" x="746"/>
        <item m="1" x="974"/>
        <item m="1" x="1196"/>
        <item m="1" x="1631"/>
        <item m="1" x="1847"/>
        <item m="1" x="2063"/>
        <item m="1" x="32"/>
        <item m="1" x="233"/>
        <item m="1" x="403"/>
        <item m="1" x="582"/>
        <item m="1" x="808"/>
        <item m="1" x="1035"/>
        <item m="1" x="1467"/>
        <item m="1" x="1689"/>
        <item m="1" x="1906"/>
        <item m="1" x="2120"/>
        <item m="1" x="88"/>
        <item m="1" x="279"/>
        <item m="1" x="536"/>
        <item m="1" x="548"/>
        <item m="1" x="774"/>
        <item m="1" x="762"/>
        <item m="1" x="990"/>
        <item m="1" x="1003"/>
        <item m="1" x="1211"/>
        <item m="1" x="1223"/>
        <item m="1" x="1424"/>
        <item m="1" x="1647"/>
        <item m="1" x="1862"/>
        <item m="1" x="2078"/>
        <item m="1" x="47"/>
        <item m="1" x="248"/>
        <item m="1" x="411"/>
        <item m="1" x="594"/>
        <item m="1" x="820"/>
        <item m="1" x="1045"/>
        <item m="1" x="1262"/>
        <item m="1" x="1479"/>
        <item m="1" x="1700"/>
        <item m="1" x="1917"/>
        <item m="1" x="2131"/>
        <item m="1" x="99"/>
        <item m="1" x="289"/>
        <item m="1" x="441"/>
        <item m="1" x="652"/>
        <item m="1" x="877"/>
        <item m="1" x="1100"/>
        <item m="1" x="1316"/>
        <item m="1" x="1535"/>
        <item m="1" x="1753"/>
        <item m="1" x="1972"/>
        <item m="1" x="2187"/>
        <item m="1" x="157"/>
        <item m="1" x="1436"/>
        <item m="1" x="1659"/>
        <item m="1" x="1874"/>
        <item m="1" x="2090"/>
        <item m="1" x="59"/>
        <item m="1" x="255"/>
        <item m="1" x="418"/>
        <item m="1" x="607"/>
        <item m="1" x="834"/>
        <item m="1" x="1058"/>
        <item m="1" x="1274"/>
        <item m="1" x="1491"/>
        <item m="1" x="1713"/>
        <item m="1" x="1931"/>
        <item m="1" x="2146"/>
        <item m="1" x="112"/>
        <item m="1" x="303"/>
        <item m="1" x="454"/>
        <item m="1" x="671"/>
        <item m="1" x="895"/>
        <item m="1" x="1118"/>
        <item m="1" x="1334"/>
        <item m="1" x="1553"/>
        <item m="1" x="1771"/>
        <item m="1" x="560"/>
        <item m="1" x="786"/>
        <item m="1" x="1015"/>
        <item m="1" x="1234"/>
        <item m="1" x="1448"/>
        <item m="1" x="1670"/>
        <item m="1" x="1886"/>
        <item m="1" x="2100"/>
        <item m="1" x="68"/>
        <item m="1" x="264"/>
        <item m="1" x="424"/>
        <item m="1" x="619"/>
        <item m="1" x="847"/>
        <item m="1" x="1070"/>
        <item m="1" x="1286"/>
        <item m="1" x="1504"/>
        <item m="1" x="1725"/>
        <item m="1" x="1944"/>
        <item m="1" x="2158"/>
        <item m="1" x="124"/>
        <item m="1" x="316"/>
        <item m="1" x="466"/>
        <item m="1" x="688"/>
        <item m="1" x="914"/>
        <item m="1" x="1135"/>
        <item m="1" x="574"/>
        <item m="1" x="800"/>
        <item m="1" x="1028"/>
        <item m="1" x="1247"/>
        <item m="1" x="1474"/>
        <item m="1" x="1709"/>
        <item m="1" x="1459"/>
        <item m="1" x="1681"/>
        <item m="1" x="1952"/>
        <item m="1" x="1898"/>
        <item m="1" x="2112"/>
        <item m="1" x="80"/>
        <item m="1" x="272"/>
        <item m="1" x="430"/>
        <item m="1" x="635"/>
        <item m="1" x="861"/>
        <item m="1" x="1084"/>
        <item m="1" x="1300"/>
        <item m="1" x="1519"/>
        <item m="1" x="1737"/>
        <item m="1" x="1957"/>
        <item m="1" x="2171"/>
        <item m="1" x="660"/>
        <item m="1" x="138"/>
        <item m="1" x="329"/>
        <item m="1" x="479"/>
        <item m="1" x="708"/>
        <item m="1" x="935"/>
        <item m="1" x="1155"/>
        <item m="1" x="603"/>
        <item m="1" x="830"/>
        <item m="1" x="1054"/>
        <item m="1" x="1270"/>
        <item m="1" x="1487"/>
        <item m="1" x="1927"/>
        <item m="1" x="2142"/>
        <item m="1" x="108"/>
        <item m="1" x="298"/>
        <item m="1" x="450"/>
        <item m="1" x="666"/>
        <item m="1" x="890"/>
        <item m="1" x="1113"/>
        <item m="1" x="1329"/>
        <item m="1" x="1548"/>
        <item m="1" x="1766"/>
        <item m="1" x="1985"/>
        <item m="1" x="2201"/>
        <item m="1" x="171"/>
        <item m="1" x="350"/>
        <item m="1" x="500"/>
        <item m="1" x="728"/>
        <item m="1" x="955"/>
        <item m="1" x="1176"/>
        <item m="1" x="1389"/>
        <item m="1" x="1609"/>
        <item m="1" x="13"/>
        <item m="1" x="1827"/>
        <item m="1" x="615"/>
        <item m="1" x="843"/>
        <item m="1" x="1066"/>
        <item m="1" x="1282"/>
        <item m="1" x="1500"/>
        <item m="1" x="1721"/>
        <item m="1" x="1940"/>
        <item m="1" x="2154"/>
        <item m="1" x="120"/>
        <item m="1" x="312"/>
        <item m="1" x="462"/>
        <item m="1" x="738"/>
        <item m="1" x="909"/>
        <item m="1" x="683"/>
        <item m="1" x="1130"/>
        <item m="1" x="1346"/>
        <item m="1" x="1564"/>
        <item m="1" x="1782"/>
        <item m="1" x="1999"/>
        <item m="1" x="2213"/>
        <item m="1" x="183"/>
        <item m="1" x="362"/>
        <item m="1" x="513"/>
        <item m="1" x="966"/>
        <item m="1" x="1188"/>
        <item m="1" x="1401"/>
        <item m="1" x="1622"/>
        <item m="1" x="1839"/>
        <item m="1" x="2054"/>
        <item m="1" x="24"/>
        <item m="1" x="225"/>
        <item m="1" x="629"/>
        <item m="1" x="856"/>
        <item m="1" x="1079"/>
        <item m="1" x="1295"/>
        <item m="1" x="1514"/>
        <item m="1" x="1732"/>
        <item m="1" x="2166"/>
        <item m="1" x="133"/>
        <item m="1" x="324"/>
        <item m="1" x="474"/>
        <item m="1" x="702"/>
        <item m="1" x="929"/>
        <item m="1" x="1149"/>
        <item m="1" x="1364"/>
        <item m="1" x="1583"/>
        <item m="1" x="1801"/>
        <item m="1" x="2019"/>
        <item m="1" x="2231"/>
        <item m="1" x="201"/>
        <item m="1" x="378"/>
        <item m="1" x="528"/>
        <item m="1" x="753"/>
        <item m="1" x="981"/>
        <item m="1" x="1203"/>
        <item m="1" x="1415"/>
        <item m="1" x="1639"/>
        <item m="1" x="1854"/>
        <item m="1" x="2070"/>
        <item m="1" x="2061"/>
        <item m="1" x="39"/>
        <item m="1" x="240"/>
        <item m="1" x="642"/>
        <item m="1" x="868"/>
        <item m="1" x="1091"/>
        <item m="1" x="1307"/>
        <item m="1" x="1526"/>
        <item m="1" x="1744"/>
        <item m="1" x="1964"/>
        <item m="1" x="2179"/>
        <item m="1" x="149"/>
        <item m="1" x="336"/>
        <item m="1" x="487"/>
        <item m="1" x="715"/>
        <item m="1" x="942"/>
        <item m="1" x="1163"/>
        <item m="1" x="1376"/>
        <item m="1" x="1595"/>
        <item m="1" x="1814"/>
        <item m="1" x="207"/>
        <item m="1" x="2030"/>
        <item m="1" x="1"/>
        <item m="1" x="386"/>
        <item m="1" x="542"/>
        <item m="1" x="769"/>
        <item m="1" x="997"/>
        <item m="1" x="1218"/>
        <item m="1" x="1431"/>
        <item m="1" x="1654"/>
        <item m="1" x="1869"/>
        <item m="1" x="2085"/>
        <item m="1" x="54"/>
        <item m="1" x="662"/>
        <item m="1" x="886"/>
        <item m="1" x="261"/>
        <item m="1" x="1109"/>
        <item m="1" x="1325"/>
        <item m="1" x="1544"/>
        <item m="1" x="1762"/>
        <item m="1" x="1778"/>
        <item m="1" x="1981"/>
        <item m="1" x="2197"/>
        <item m="1" x="167"/>
        <item m="1" x="346"/>
        <item m="1" x="496"/>
        <item m="1" x="724"/>
        <item m="1" x="951"/>
        <item m="1" x="1172"/>
        <item m="1" x="1385"/>
        <item m="1" x="1604"/>
        <item m="1" x="1823"/>
        <item m="1" x="2039"/>
        <item m="1" x="10"/>
        <item m="1" x="391"/>
        <item m="1" x="1184"/>
        <item m="1" x="216"/>
        <item m="1" x="555"/>
        <item m="1" x="781"/>
        <item m="1" x="1010"/>
        <item m="1" x="1230"/>
        <item m="1" x="1444"/>
        <item m="1" x="1666"/>
        <item m="1" x="1882"/>
        <item m="1" x="2096"/>
        <item m="1" x="65"/>
        <item m="1" x="679"/>
        <item m="1" x="905"/>
        <item m="1" x="1127"/>
        <item m="1" x="1342"/>
        <item m="1" x="1560"/>
        <item m="1" x="1995"/>
        <item m="1" x="2209"/>
        <item m="1" x="179"/>
        <item m="1" x="358"/>
        <item m="1" x="508"/>
        <item m="1" x="735"/>
        <item m="1" x="962"/>
        <item m="1" x="1397"/>
        <item m="1" x="1618"/>
        <item m="1" x="1835"/>
        <item m="1" x="2050"/>
        <item m="1" x="20"/>
        <item m="1" x="221"/>
        <item m="1" x="397"/>
        <item m="1" x="569"/>
        <item m="1" x="794"/>
        <item m="1" x="1023"/>
        <item m="1" x="1242"/>
        <item m="1" x="1455"/>
        <item m="1" x="1677"/>
        <item m="1" x="1894"/>
        <item m="1" x="2108"/>
        <item m="1" x="76"/>
        <item m="1" x="697"/>
        <item m="1" x="923"/>
        <item m="1" x="1143"/>
        <item m="1" x="561"/>
        <item m="1" x="1358"/>
        <item m="1" x="1577"/>
        <item m="1" x="1795"/>
        <item m="1" x="2013"/>
        <item m="1" x="195"/>
        <item m="1" x="2225"/>
        <item m="1" x="372"/>
        <item m="1" x="522"/>
        <item m="1" x="747"/>
        <item m="1" x="975"/>
        <item m="1" x="1197"/>
        <item m="1" x="1409"/>
        <item m="1" x="1632"/>
        <item m="1" x="1848"/>
        <item m="1" x="2064"/>
        <item m="1" x="33"/>
        <item m="1" x="2133"/>
        <item m="1" x="234"/>
        <item m="1" x="404"/>
        <item m="1" x="583"/>
        <item m="1" x="809"/>
        <item m="1" x="1036"/>
        <item m="1" x="1254"/>
        <item m="1" x="1468"/>
        <item m="1" x="1690"/>
        <item m="1" x="1907"/>
        <item m="1" x="2121"/>
        <item m="1" x="89"/>
        <item m="1" x="280"/>
        <item m="1" x="537"/>
        <item m="1" x="763"/>
        <item m="1" x="991"/>
        <item m="1" x="1212"/>
        <item m="1" x="1425"/>
        <item m="1" x="1648"/>
        <item m="1" x="1863"/>
        <item m="1" x="2079"/>
        <item m="1" x="48"/>
        <item m="1" x="249"/>
        <item m="1" x="412"/>
        <item m="1" x="597"/>
        <item m="1" x="823"/>
        <item m="1" x="1048"/>
        <item m="1" x="1264"/>
        <item m="1" x="1481"/>
        <item m="1" x="1702"/>
        <item m="1" x="1920"/>
        <item m="1" x="2135"/>
        <item m="1" x="102"/>
        <item m="1" x="292"/>
        <item m="1" x="444"/>
        <item m="1" x="655"/>
        <item m="1" x="880"/>
        <item m="1" x="1103"/>
        <item m="1" x="1319"/>
        <item m="1" x="1538"/>
        <item m="1" x="1756"/>
        <item m="1" x="1975"/>
        <item m="1" x="2190"/>
        <item m="1" x="160"/>
        <item m="1" x="549"/>
        <item m="1" x="775"/>
        <item m="1" x="1004"/>
        <item m="1" x="1224"/>
        <item m="1" x="1437"/>
        <item m="1" x="1660"/>
        <item m="1" x="1875"/>
        <item m="1" x="2091"/>
        <item m="1" x="60"/>
        <item m="1" x="256"/>
        <item m="1" x="419"/>
        <item m="1" x="610"/>
        <item m="1" x="837"/>
        <item m="1" x="1061"/>
        <item m="1" x="1277"/>
        <item m="1" x="1494"/>
        <item m="1" x="1716"/>
        <item m="1" x="1934"/>
        <item m="1" x="2149"/>
        <item m="1" x="115"/>
        <item m="1" x="306"/>
        <item m="1" x="457"/>
        <item m="1" x="674"/>
        <item m="1" x="898"/>
        <item m="1" x="1121"/>
        <item m="1" x="1337"/>
        <item m="1" x="1556"/>
        <item m="1" x="1774"/>
        <item m="1" x="1991"/>
        <item m="1" x="562"/>
        <item m="1" x="787"/>
        <item m="1" x="1016"/>
        <item m="1" x="1235"/>
        <item m="1" x="1449"/>
        <item m="1" x="1671"/>
        <item m="1" x="1887"/>
        <item m="1" x="2101"/>
        <item m="1" x="69"/>
        <item m="1" x="265"/>
        <item m="1" x="425"/>
        <item m="1" x="622"/>
        <item m="1" x="850"/>
        <item m="1" x="1073"/>
        <item m="1" x="1289"/>
        <item m="1" x="1507"/>
        <item m="1" x="1727"/>
        <item m="1" x="1946"/>
        <item m="1" x="2161"/>
        <item m="1" x="127"/>
        <item m="1" x="319"/>
        <item m="1" x="469"/>
        <item m="1" x="691"/>
        <item m="1" x="917"/>
        <item m="1" x="1138"/>
        <item m="1" x="1353"/>
        <item m="1" x="1571"/>
        <item m="1" x="1789"/>
        <item m="1" x="2006"/>
        <item m="1" x="2220"/>
        <item m="1" x="190"/>
        <item m="1" x="575"/>
        <item m="1" x="801"/>
        <item m="1" x="1029"/>
        <item m="1" x="1248"/>
        <item m="1" x="1460"/>
        <item m="1" x="1682"/>
        <item m="1" x="1899"/>
        <item m="1" x="2113"/>
        <item m="1" x="81"/>
        <item m="1" x="273"/>
        <item m="1" x="431"/>
        <item m="1" x="637"/>
        <item m="1" x="863"/>
        <item m="1" x="1086"/>
        <item m="1" x="1302"/>
        <item m="1" x="1521"/>
        <item m="1" x="1739"/>
        <item m="1" x="1959"/>
        <item m="1" x="2173"/>
        <item m="1" x="140"/>
        <item m="1" x="331"/>
        <item m="1" x="481"/>
        <item m="1" x="710"/>
        <item m="1" x="937"/>
        <item m="1" x="1157"/>
        <item m="1" x="1371"/>
        <item m="1" x="1590"/>
        <item m="1" x="1809"/>
        <item m="1" x="2026"/>
        <item m="1" x="2238"/>
        <item m="1" x="591"/>
        <item m="1" x="817"/>
        <item m="1" x="1042"/>
        <item m="1" x="1259"/>
        <item m="1" x="1476"/>
        <item m="1" x="1697"/>
        <item m="1" x="1914"/>
        <item m="1" x="2128"/>
        <item m="1" x="96"/>
        <item m="1" x="286"/>
        <item m="1" x="438"/>
        <item m="1" x="649"/>
        <item m="1" x="874"/>
        <item m="1" x="1097"/>
        <item m="1" x="1313"/>
        <item m="1" x="1532"/>
        <item m="1" x="1750"/>
        <item m="1" x="1970"/>
        <item m="1" x="2185"/>
        <item m="1" x="155"/>
        <item m="1" x="341"/>
        <item m="1" x="492"/>
        <item m="1" x="720"/>
        <item m="1" x="947"/>
        <item m="1" x="1168"/>
        <item m="1" x="1381"/>
        <item m="1" x="1600"/>
        <item m="1" x="1819"/>
        <item m="1" x="2035"/>
        <item m="1" x="6"/>
        <item m="1" x="212"/>
        <item m="1" x="604"/>
        <item m="1" x="831"/>
        <item m="1" x="1055"/>
        <item m="1" x="1271"/>
        <item m="1" x="1488"/>
        <item m="1" x="1710"/>
        <item m="1" x="1928"/>
        <item m="1" x="2143"/>
        <item m="1" x="109"/>
        <item m="1" x="299"/>
        <item m="1" x="451"/>
        <item m="1" x="668"/>
        <item m="1" x="892"/>
        <item m="1" x="1115"/>
        <item m="1" x="1331"/>
        <item m="1" x="1550"/>
        <item m="1" x="1768"/>
        <item m="1" x="1987"/>
        <item m="1" x="2203"/>
        <item m="1" x="173"/>
        <item m="1" x="352"/>
        <item m="1" x="502"/>
        <item m="1" x="730"/>
        <item m="1" x="957"/>
        <item m="1" x="1178"/>
        <item m="1" x="1391"/>
        <item m="1" x="1611"/>
        <item m="1" x="1829"/>
        <item m="1" x="2044"/>
        <item m="1" x="15"/>
        <item m="1" x="616"/>
        <item m="1" x="844"/>
        <item m="1" x="1067"/>
        <item m="1" x="1283"/>
        <item m="1" x="1501"/>
        <item m="1" x="1722"/>
        <item m="1" x="1941"/>
        <item m="1" x="2155"/>
        <item m="1" x="121"/>
        <item m="1" x="313"/>
        <item m="1" x="463"/>
        <item m="1" x="685"/>
        <item m="1" x="911"/>
        <item m="1" x="1132"/>
        <item m="1" x="1348"/>
        <item m="1" x="1566"/>
        <item m="1" x="1784"/>
        <item m="1" x="2001"/>
        <item m="1" x="2215"/>
        <item m="1" x="185"/>
        <item m="1" x="364"/>
        <item m="1" x="515"/>
        <item m="1" x="283"/>
        <item m="1" x="931"/>
        <item m="1" x="630"/>
        <item m="1" x="857"/>
        <item m="1" x="1080"/>
        <item m="1" x="1296"/>
        <item m="1" x="1515"/>
        <item m="1" x="1733"/>
        <item m="1" x="1953"/>
        <item m="1" x="2167"/>
        <item m="1" x="134"/>
        <item m="1" x="325"/>
        <item m="1" x="475"/>
        <item m="1" x="704"/>
        <item m="1" x="1151"/>
        <item m="1" x="1585"/>
        <item m="1" x="1803"/>
        <item m="1" x="2021"/>
        <item m="1" x="2233"/>
        <item m="1" x="203"/>
        <item m="1" x="380"/>
        <item m="1" x="530"/>
        <item m="1" x="755"/>
        <item m="1" x="983"/>
        <item m="1" x="1205"/>
        <item m="1" x="1417"/>
        <item m="1" x="1641"/>
        <item m="1" x="1856"/>
        <item m="1" x="2072"/>
        <item m="1" x="41"/>
        <item m="1" x="242"/>
        <item m="1" x="643"/>
        <item m="1" x="869"/>
        <item m="1" x="1092"/>
        <item m="1" x="1308"/>
        <item m="1" x="1527"/>
        <item m="1" x="1745"/>
        <item m="1" x="1965"/>
        <item m="1" x="2180"/>
        <item m="1" x="150"/>
        <item m="1" x="337"/>
        <item m="1" x="488"/>
        <item m="1" x="716"/>
        <item m="1" x="943"/>
        <item m="1" x="1164"/>
        <item m="1" x="1377"/>
        <item m="1" x="1596"/>
        <item m="1" x="1815"/>
        <item m="1" x="2031"/>
        <item m="1" x="2"/>
        <item m="1" x="208"/>
        <item m="1" x="387"/>
        <item m="1" x="543"/>
        <item m="1" x="770"/>
        <item m="1" x="998"/>
        <item m="1" x="1219"/>
        <item m="1" x="1432"/>
        <item m="1" x="1655"/>
        <item m="1" x="1870"/>
        <item m="1" x="2086"/>
        <item m="1" x="55"/>
        <item m="1" x="663"/>
        <item m="1" x="887"/>
        <item m="1" x="1110"/>
        <item m="1" x="1326"/>
        <item m="1" x="1545"/>
        <item m="1" x="1763"/>
        <item m="1" x="1982"/>
        <item m="1" x="2198"/>
        <item m="1" x="168"/>
        <item m="1" x="347"/>
        <item m="1" x="497"/>
        <item m="1" x="725"/>
        <item m="1" x="952"/>
        <item m="1" x="1173"/>
        <item m="1" x="1386"/>
        <item m="1" x="1605"/>
        <item m="1" x="1824"/>
        <item m="1" x="2040"/>
        <item m="1" x="11"/>
        <item m="1" x="217"/>
        <item m="1" x="392"/>
        <item m="1" x="556"/>
        <item m="1" x="782"/>
        <item m="1" x="1011"/>
        <item m="1" x="1231"/>
        <item m="1" x="1445"/>
        <item m="1" x="1667"/>
        <item m="1" x="1883"/>
        <item m="1" x="2097"/>
        <item m="1" x="680"/>
        <item m="1" x="906"/>
        <item m="1" x="1128"/>
        <item m="1" x="1343"/>
        <item m="1" x="1561"/>
        <item m="1" x="1779"/>
        <item m="1" x="1996"/>
        <item m="1" x="2210"/>
        <item m="1" x="180"/>
        <item m="1" x="359"/>
        <item m="1" x="509"/>
        <item m="1" x="736"/>
        <item m="1" x="963"/>
        <item m="1" x="1185"/>
        <item m="1" x="1398"/>
        <item m="1" x="1619"/>
        <item m="1" x="1836"/>
        <item m="1" x="2051"/>
        <item m="1" x="21"/>
        <item m="1" x="222"/>
        <item m="1" x="398"/>
        <item m="1" x="570"/>
        <item m="1" x="795"/>
        <item m="1" x="1024"/>
        <item m="1" x="1243"/>
        <item m="1" x="925"/>
        <item m="1" x="1145"/>
        <item m="1" x="1360"/>
        <item m="1" x="1579"/>
        <item m="1" x="1797"/>
        <item m="1" x="2015"/>
        <item m="1" x="2227"/>
        <item m="1" x="197"/>
        <item m="1" x="374"/>
        <item m="1" x="524"/>
        <item m="1" x="749"/>
        <item m="1" x="977"/>
        <item m="1" x="1199"/>
        <item m="1" x="1411"/>
        <item m="1" x="1634"/>
        <item m="1" x="1850"/>
        <item m="1" x="2066"/>
        <item m="1" x="35"/>
        <item m="1" x="236"/>
        <item m="1" x="405"/>
        <item m="1" x="584"/>
        <item m="1" x="810"/>
        <item m="1" x="1037"/>
        <item m="1" x="1255"/>
        <item m="1" x="1469"/>
        <item m="1" x="1691"/>
        <item m="1" x="1908"/>
        <item m="1" x="2122"/>
        <item m="1" x="90"/>
        <item m="1" x="538"/>
        <item m="1" x="764"/>
        <item m="1" x="992"/>
        <item m="1" x="1213"/>
        <item m="1" x="1426"/>
        <item m="1" x="1649"/>
        <item m="1" x="1864"/>
        <item m="1" x="2080"/>
        <item m="1" x="49"/>
        <item m="1" x="250"/>
        <item m="1" x="413"/>
        <item m="1" x="598"/>
        <item m="1" x="824"/>
        <item m="1" x="1049"/>
        <item m="1" x="1265"/>
        <item m="1" x="1482"/>
        <item m="1" x="1703"/>
        <item m="1" x="1921"/>
        <item m="1" x="2136"/>
        <item m="1" x="2138"/>
        <item m="1" x="103"/>
        <item m="1" x="293"/>
        <item m="1" x="445"/>
        <item m="1" x="656"/>
        <item m="1" x="881"/>
        <item m="1" x="1104"/>
        <item m="1" x="1320"/>
        <item m="1" x="1539"/>
        <item m="1" x="1757"/>
        <item m="1" x="1976"/>
        <item m="1" x="2192"/>
        <item m="1" x="162"/>
        <item m="1" x="550"/>
        <item m="1" x="776"/>
        <item m="1" x="1005"/>
        <item m="1" x="1225"/>
        <item m="1" x="1438"/>
        <item m="1" x="1661"/>
        <item m="1" x="1876"/>
        <item m="1" x="2092"/>
        <item m="1" x="61"/>
        <item m="1" x="257"/>
        <item m="1" x="420"/>
        <item m="1" x="611"/>
        <item m="1" x="838"/>
        <item m="1" x="1062"/>
        <item m="1" x="1278"/>
        <item m="1" x="1495"/>
        <item m="1" x="1717"/>
        <item m="1" x="1935"/>
        <item m="1" x="2150"/>
        <item m="1" x="116"/>
        <item m="1" x="307"/>
        <item m="1" x="458"/>
        <item m="1" x="675"/>
        <item m="1" x="899"/>
        <item m="1" x="1122"/>
        <item m="1" x="617"/>
        <item m="1" x="845"/>
        <item m="1" x="1068"/>
        <item m="1" x="1284"/>
        <item m="1" x="1502"/>
        <item m="1" x="1723"/>
        <item m="1" x="1942"/>
        <item m="1" x="2156"/>
        <item m="1" x="122"/>
        <item m="1" x="314"/>
        <item m="1" x="464"/>
        <item m="1" x="686"/>
        <item m="1" x="912"/>
        <item m="1" x="1133"/>
        <item m="1" x="1349"/>
        <item m="1" x="1567"/>
        <item m="1" x="1785"/>
        <item m="1" x="2002"/>
        <item m="1" x="2216"/>
        <item m="1" x="186"/>
        <item m="1" x="365"/>
        <item m="1" x="516"/>
        <item m="1" x="740"/>
        <item m="1" x="968"/>
        <item m="1" x="1190"/>
        <item m="1" x="1403"/>
        <item m="1" x="1624"/>
        <item m="1" x="1841"/>
        <item m="1" x="2056"/>
        <item m="1" x="26"/>
        <item m="1" x="227"/>
        <item m="1" x="632"/>
        <item m="1" x="699"/>
        <item m="1" x="926"/>
        <item m="1" x="1146"/>
        <item m="1" x="1361"/>
        <item m="1" x="1580"/>
        <item m="1" x="1798"/>
        <item m="1" x="2016"/>
        <item m="1" x="2228"/>
        <item m="1" x="198"/>
        <item m="1" x="375"/>
        <item m="1" x="525"/>
        <item m="1" x="750"/>
        <item m="1" x="978"/>
        <item m="1" x="1200"/>
        <item m="1" x="1412"/>
        <item m="1" x="1635"/>
        <item m="1" x="1851"/>
        <item m="1" x="2067"/>
        <item m="1" x="36"/>
        <item m="1" x="237"/>
        <item m="1" x="406"/>
        <item m="1" x="585"/>
        <item m="1" x="811"/>
        <item m="1" x="1038"/>
        <item m="1" x="1470"/>
        <item m="1" x="1692"/>
        <item m="1" x="1909"/>
        <item m="1" x="2123"/>
        <item m="1" x="91"/>
        <item m="1" x="539"/>
        <item m="1" x="765"/>
        <item m="1" x="993"/>
        <item m="1" x="1214"/>
        <item m="1" x="1427"/>
        <item m="1" x="1650"/>
        <item m="1" x="1865"/>
        <item m="1" x="2081"/>
        <item m="1" x="50"/>
        <item m="1" x="251"/>
        <item m="1" x="414"/>
        <item m="1" x="599"/>
        <item m="1" x="825"/>
        <item m="1" x="1050"/>
        <item m="1" x="1266"/>
        <item m="1" x="1483"/>
        <item m="1" x="1704"/>
        <item m="1" x="1922"/>
        <item m="1" x="2137"/>
        <item m="1" x="104"/>
        <item m="1" x="294"/>
        <item m="1" x="446"/>
        <item m="1" x="657"/>
        <item m="1" x="882"/>
        <item m="1" x="1105"/>
        <item m="1" x="1321"/>
        <item m="1" x="1540"/>
        <item m="1" x="1758"/>
        <item m="1" x="1977"/>
        <item m="1" x="2193"/>
        <item m="1" x="163"/>
        <item m="1" x="551"/>
        <item m="1" x="777"/>
        <item m="1" x="1006"/>
        <item m="1" x="1226"/>
        <item m="1" x="1439"/>
        <item m="1" x="1662"/>
        <item m="1" x="1877"/>
        <item m="1" x="563"/>
        <item m="1" x="788"/>
        <item m="1" x="1017"/>
        <item m="1" x="1236"/>
        <item m="1" x="1450"/>
        <item m="1" x="1672"/>
        <item m="1" x="1888"/>
        <item m="1" x="2102"/>
        <item m="1" x="70"/>
        <item m="1" x="266"/>
        <item m="1" x="426"/>
        <item m="1" x="623"/>
        <item m="1" x="851"/>
        <item m="1" x="1074"/>
        <item m="1" x="1290"/>
        <item m="1" x="576"/>
        <item m="1" x="802"/>
        <item m="1" x="1030"/>
        <item m="1" x="1249"/>
        <item m="1" x="1461"/>
        <item m="1" x="1683"/>
        <item m="1" x="1900"/>
        <item m="1" x="2114"/>
        <item m="1" x="82"/>
        <item m="1" x="274"/>
        <item m="1" x="432"/>
        <item m="1" x="440"/>
        <item m="1" x="593"/>
        <item m="1" x="819"/>
        <item m="1" x="1044"/>
        <item m="1" x="1261"/>
        <item m="1" x="1478"/>
        <item m="1" x="1699"/>
        <item m="1" x="1916"/>
        <item m="1" x="2130"/>
        <item m="1" x="98"/>
        <item m="1" x="288"/>
        <item m="1" x="477"/>
        <item m="1" x="511"/>
        <item m="1" x="421"/>
        <item m="1" x="442"/>
        <item m="1" x="651"/>
        <item m="1" x="876"/>
        <item m="1" x="839"/>
        <item m="1" x="1099"/>
        <item m="1" x="1315"/>
        <item m="1" x="1534"/>
        <item m="1" x="1752"/>
        <item m="1" x="606"/>
        <item m="1" x="833"/>
        <item m="1" x="1057"/>
        <item m="1" x="1273"/>
        <item m="1" x="1490"/>
        <item m="1" x="1712"/>
        <item m="1" x="1930"/>
        <item m="1" x="2145"/>
        <item m="1" x="111"/>
        <item m="1" x="302"/>
        <item m="1" x="453"/>
        <item m="1" x="670"/>
        <item m="1" x="894"/>
        <item m="1" x="1117"/>
        <item m="1" x="1333"/>
        <item m="1" x="1552"/>
        <item m="1" x="1587"/>
        <item m="1" x="1607"/>
        <item m="1" x="1637"/>
        <item m="1" x="1496"/>
        <item m="1" x="1522"/>
        <item m="1" x="1554"/>
        <item m="1" x="1588"/>
        <item m="1" x="1608"/>
        <item m="1" x="1770"/>
        <item m="1" x="1988"/>
        <item m="1" x="2204"/>
        <item m="1" x="174"/>
        <item m="1" x="353"/>
        <item m="1" x="503"/>
        <item m="1" x="731"/>
        <item m="1" x="958"/>
        <item m="1" x="1179"/>
        <item m="1" x="1392"/>
        <item m="1" x="1612"/>
        <item m="1" x="1830"/>
        <item m="1" x="2045"/>
        <item m="1" x="16"/>
        <item m="1" x="618"/>
        <item m="1" x="846"/>
        <item m="1" x="1069"/>
        <item m="1" x="1285"/>
        <item m="1" x="1503"/>
        <item m="1" x="1724"/>
        <item m="1" x="1943"/>
        <item m="1" x="2157"/>
        <item m="1" x="123"/>
        <item m="1" x="315"/>
        <item m="1" x="465"/>
        <item m="1" x="687"/>
        <item m="1" x="913"/>
        <item m="1" x="1134"/>
        <item m="1" x="1350"/>
        <item m="1" x="1568"/>
        <item m="1" x="1786"/>
        <item m="1" x="2003"/>
        <item m="1" x="2217"/>
        <item m="1" x="187"/>
        <item m="1" x="367"/>
        <item m="1" x="517"/>
        <item m="1" x="741"/>
        <item m="1" x="969"/>
        <item m="1" x="1191"/>
        <item m="1" x="1404"/>
        <item m="1" x="1626"/>
        <item m="1" x="1843"/>
        <item m="1" x="2058"/>
        <item m="1" x="27"/>
        <item m="1" x="228"/>
        <item m="1" x="633"/>
        <item m="1" x="859"/>
        <item m="1" x="1082"/>
        <item m="1" x="1298"/>
        <item m="1" x="1517"/>
        <item m="1" x="1735"/>
        <item m="1" x="1955"/>
        <item m="1" x="2169"/>
        <item m="1" x="136"/>
        <item m="1" x="327"/>
        <item m="1" x="706"/>
        <item m="1" x="933"/>
        <item m="1" x="1153"/>
        <item m="1" x="1368"/>
        <item m="1" x="1367"/>
        <item m="1" x="1806"/>
        <item m="1" x="2023"/>
        <item m="1" x="2235"/>
        <item m="1" x="204"/>
        <item m="1" x="382"/>
        <item m="1" x="532"/>
        <item m="1" x="757"/>
        <item m="1" x="985"/>
        <item m="1" x="1206"/>
        <item m="1" x="1418"/>
        <item m="1" x="1642"/>
        <item m="1" x="1857"/>
        <item m="1" x="2073"/>
        <item m="1" x="42"/>
        <item m="1" x="243"/>
        <item m="1" x="645"/>
        <item m="1" x="564"/>
        <item m="1" x="789"/>
        <item m="1" x="1018"/>
        <item m="1" x="1237"/>
        <item m="1" x="1440"/>
        <item m="1" x="1451"/>
        <item m="1" x="1673"/>
        <item m="1" x="1889"/>
        <item m="1" x="2103"/>
        <item m="1" x="71"/>
        <item m="1" x="267"/>
        <item m="1" x="427"/>
        <item m="1" x="624"/>
        <item m="1" x="852"/>
        <item m="1" x="1075"/>
        <item m="1" x="1291"/>
        <item m="1" x="1508"/>
        <item m="1" x="1728"/>
        <item m="1" x="1947"/>
        <item m="1" x="2162"/>
        <item m="1" x="128"/>
        <item m="1" x="320"/>
        <item m="1" x="470"/>
        <item m="1" x="692"/>
        <item m="1" x="918"/>
        <item m="1" x="1139"/>
        <item m="1" x="1354"/>
        <item m="1" x="1572"/>
        <item m="1" x="1790"/>
        <item m="1" x="2007"/>
        <item m="1" x="2221"/>
        <item m="1" x="191"/>
        <item m="1" x="577"/>
        <item m="1" x="803"/>
        <item m="1" x="1031"/>
        <item m="1" x="1250"/>
        <item m="1" x="1462"/>
        <item m="1" x="1684"/>
        <item m="1" x="1901"/>
        <item m="1" x="2115"/>
        <item m="1" x="83"/>
        <item m="1" x="275"/>
        <item m="1" x="433"/>
        <item m="1" x="638"/>
        <item m="1" x="864"/>
        <item m="1" x="1087"/>
        <item m="1" x="1303"/>
        <item m="1" x="1740"/>
        <item m="1" x="1960"/>
        <item m="1" x="2174"/>
        <item m="1" x="141"/>
        <item m="1" x="332"/>
        <item m="1" x="482"/>
        <item m="1" x="711"/>
        <item m="1" x="938"/>
        <item m="1" x="1158"/>
        <item m="1" x="1372"/>
        <item m="1" x="1591"/>
        <item m="1" x="1810"/>
        <item m="1" x="2027"/>
        <item m="1" x="2239"/>
        <item m="1" x="595"/>
        <item m="1" x="821"/>
        <item m="1" x="1046"/>
        <item m="1" x="1263"/>
        <item m="1" x="1480"/>
        <item m="1" x="1701"/>
        <item m="1" x="1918"/>
        <item m="1" x="2132"/>
        <item m="1" x="100"/>
        <item m="1" x="290"/>
        <item m="1" x="653"/>
        <item m="1" x="878"/>
        <item m="1" x="1101"/>
        <item m="1" x="1317"/>
        <item m="1" x="1536"/>
        <item m="1" x="1754"/>
        <item m="1" x="1973"/>
        <item m="1" x="2188"/>
        <item m="1" x="158"/>
        <item m="1" x="308"/>
        <item m="1" x="342"/>
        <item m="1" x="383"/>
        <item m="1" x="399"/>
        <item m="1" x="309"/>
        <item m="1" x="343"/>
        <item m="1" x="384"/>
        <item m="1" x="400"/>
        <item m="1" x="493"/>
        <item m="1" x="721"/>
        <item m="1" x="948"/>
        <item m="1" x="1169"/>
        <item m="1" x="1382"/>
        <item m="1" x="1601"/>
        <item m="1" x="1820"/>
        <item m="1" x="2036"/>
        <item m="1" x="7"/>
        <item m="1" x="213"/>
        <item m="1" x="608"/>
        <item m="1" x="835"/>
        <item m="1" x="1059"/>
        <item m="1" x="1275"/>
        <item m="1" x="1492"/>
        <item m="1" x="1714"/>
        <item m="1" x="1932"/>
        <item m="1" x="2147"/>
        <item m="1" x="113"/>
        <item m="1" x="304"/>
        <item m="1" x="455"/>
        <item m="1" x="672"/>
        <item m="1" x="896"/>
        <item m="1" x="1119"/>
        <item m="1" x="1335"/>
        <item m="1" x="1772"/>
        <item m="1" x="1989"/>
        <item m="1" x="2205"/>
        <item m="1" x="175"/>
        <item m="1" x="354"/>
        <item m="1" x="504"/>
        <item m="1" x="732"/>
        <item m="1" x="959"/>
        <item m="1" x="1180"/>
        <item m="1" x="1393"/>
        <item m="1" x="1613"/>
        <item m="1" x="1831"/>
        <item m="1" x="2046"/>
        <item m="1" x="17"/>
        <item m="1" x="620"/>
        <item m="1" x="848"/>
        <item m="1" x="1071"/>
        <item m="1" x="1287"/>
        <item m="1" x="1505"/>
        <item m="1" x="1726"/>
        <item m="1" x="1945"/>
        <item m="1" x="1878"/>
        <item m="1" x="2159"/>
        <item m="1" x="125"/>
        <item m="1" x="317"/>
        <item m="1" x="467"/>
        <item m="1" x="689"/>
        <item m="1" x="915"/>
        <item m="1" x="1136"/>
        <item m="1" x="1351"/>
        <item m="1" x="1569"/>
        <item m="1" x="1787"/>
        <item m="1" x="2004"/>
        <item m="1" x="2218"/>
        <item m="1" x="188"/>
        <item m="1" x="368"/>
        <item m="1" x="518"/>
        <item m="1" x="742"/>
        <item m="1" x="970"/>
        <item m="1" x="1192"/>
        <item m="1" x="1405"/>
        <item m="1" x="1627"/>
        <item m="1" x="1844"/>
        <item m="1" x="2059"/>
        <item m="1" x="28"/>
        <item m="1" x="229"/>
        <item m="1" x="634"/>
        <item m="1" x="626"/>
        <item m="1" x="860"/>
        <item m="1" x="1083"/>
        <item m="1" x="1299"/>
        <item m="1" x="1518"/>
        <item m="1" x="1736"/>
        <item m="1" x="1956"/>
        <item m="1" x="2170"/>
        <item m="1" x="130"/>
        <item m="1" x="137"/>
        <item m="1" x="143"/>
        <item m="1" x="144"/>
        <item m="1" x="145"/>
        <item m="1" x="146"/>
        <item m="1" x="147"/>
        <item m="1" x="328"/>
        <item m="1" x="478"/>
        <item m="1" x="707"/>
        <item m="1" x="934"/>
        <item m="1" x="1154"/>
        <item m="1" x="1369"/>
        <item m="1" x="1807"/>
        <item m="1" x="2024"/>
        <item m="1" x="2236"/>
        <item m="1" x="205"/>
        <item m="1" x="533"/>
        <item m="1" x="758"/>
        <item m="1" x="986"/>
        <item m="1" x="1207"/>
        <item m="1" x="1419"/>
        <item m="1" x="1643"/>
        <item m="1" x="1858"/>
        <item m="1" x="2074"/>
        <item m="1" x="43"/>
        <item m="1" x="244"/>
        <item m="1" x="646"/>
        <item m="1" x="871"/>
        <item m="1" x="1094"/>
        <item m="1" x="1310"/>
        <item m="1" x="1529"/>
        <item m="1" x="1747"/>
        <item m="1" x="1967"/>
        <item m="1" x="2182"/>
        <item m="1" x="152"/>
        <item m="1" x="339"/>
        <item m="1" x="490"/>
        <item m="1" x="718"/>
        <item m="1" x="945"/>
        <item m="1" x="1166"/>
        <item m="1" x="1379"/>
        <item m="1" x="1598"/>
        <item m="1" x="1817"/>
        <item m="1" x="210"/>
        <item m="1" x="388"/>
        <item m="1" x="2033"/>
        <item m="1" x="4"/>
        <item m="1" x="544"/>
        <item m="1" x="771"/>
        <item m="1" x="999"/>
        <item m="1" x="1220"/>
        <item m="1" x="1433"/>
        <item m="1" x="1656"/>
        <item m="1" x="1871"/>
        <item m="1" x="2087"/>
        <item m="1" x="56"/>
        <item m="1" x="665"/>
        <item m="1" x="889"/>
        <item m="1" x="1112"/>
        <item m="1" x="1328"/>
        <item m="1" x="1547"/>
        <item m="1" x="1765"/>
        <item m="1" x="1984"/>
        <item m="1" x="2200"/>
        <item m="1" x="170"/>
        <item m="1" x="349"/>
        <item m="1" x="499"/>
        <item m="1" x="727"/>
        <item m="1" x="954"/>
        <item m="1" x="1175"/>
        <item m="1" x="1388"/>
        <item m="1" x="1615"/>
        <item m="1" x="1826"/>
        <item m="1" x="2042"/>
        <item m="1" x="12"/>
        <item m="1" x="218"/>
        <item m="1" x="393"/>
        <item m="1" x="557"/>
        <item m="1" x="783"/>
        <item m="1" x="1012"/>
        <item m="1" x="1232"/>
        <item m="1" x="1446"/>
        <item m="1" x="1668"/>
        <item m="1" x="1884"/>
        <item m="1" x="2098"/>
        <item m="1" x="66"/>
        <item m="1" x="262"/>
        <item m="1" x="682"/>
        <item m="1" x="908"/>
        <item m="1" x="1345"/>
        <item m="1" x="1563"/>
        <item m="1" x="1781"/>
        <item m="1" x="1998"/>
        <item m="1" x="2212"/>
        <item m="1" x="182"/>
        <item m="1" x="361"/>
        <item m="1" x="512"/>
        <item m="1" x="965"/>
        <item m="1" x="1187"/>
        <item m="1" x="1400"/>
        <item m="1" x="1621"/>
        <item m="1" x="1838"/>
        <item m="1" x="2053"/>
        <item m="1" x="23"/>
        <item m="1" x="224"/>
        <item m="1" x="571"/>
        <item m="1" x="796"/>
        <item m="1" x="1025"/>
        <item m="1" x="1244"/>
        <item m="1" x="1456"/>
        <item m="1" x="1678"/>
        <item m="1" x="1895"/>
        <item m="1" x="2109"/>
        <item m="1" x="77"/>
        <item m="1" x="701"/>
        <item m="1" x="928"/>
        <item m="1" x="1148"/>
        <item m="1" x="1363"/>
        <item m="1" x="1582"/>
        <item m="1" x="1800"/>
        <item m="1" x="2018"/>
        <item m="1" x="2230"/>
        <item m="1" x="200"/>
        <item m="1" x="377"/>
        <item m="1" x="527"/>
        <item m="1" x="752"/>
        <item m="1" x="980"/>
        <item m="1" x="1202"/>
        <item m="1" x="1414"/>
        <item m="1" x="1638"/>
        <item m="1" x="1853"/>
        <item m="1" x="2069"/>
        <item m="1" x="38"/>
        <item m="1" x="239"/>
        <item m="1" x="407"/>
        <item m="1" x="586"/>
        <item m="1" x="812"/>
        <item m="1" x="1471"/>
        <item m="1" x="1693"/>
        <item m="1" x="1910"/>
        <item m="1" x="2124"/>
        <item m="1" x="92"/>
        <item m="1" x="281"/>
        <item m="1" x="766"/>
        <item m="1" x="994"/>
        <item m="1" x="1215"/>
        <item m="1" x="1428"/>
        <item m="1" x="1651"/>
        <item m="1" x="1866"/>
        <item m="1" x="2082"/>
        <item m="1" x="270"/>
        <item m="1" x="51"/>
        <item m="1" x="252"/>
        <item m="1" x="415"/>
        <item m="1" x="600"/>
        <item m="1" x="826"/>
        <item m="1" x="1051"/>
        <item m="1" x="1267"/>
        <item m="1" x="1484"/>
        <item m="1" x="2163"/>
        <item m="1" x="1510"/>
        <item m="1" x="1755"/>
        <item m="1" x="1705"/>
        <item m="1" x="1923"/>
        <item m="1" x="2139"/>
        <item m="1" x="105"/>
        <item m="1" x="295"/>
        <item m="1" x="447"/>
        <item m="1" x="658"/>
        <item m="1" x="883"/>
        <item m="1" x="1106"/>
        <item m="1" x="1322"/>
        <item m="1" x="1541"/>
        <item m="1" x="1759"/>
        <item m="1" x="1978"/>
        <item m="1" x="2194"/>
        <item m="1" x="164"/>
        <item m="1" x="552"/>
        <item m="1" x="778"/>
        <item m="1" x="1007"/>
        <item m="1" x="1227"/>
        <item m="1" x="1441"/>
        <item m="1" x="1663"/>
        <item m="1" x="1879"/>
        <item m="1" x="2093"/>
        <item m="1" x="62"/>
        <item m="1" x="258"/>
        <item m="1" x="422"/>
        <item m="1" x="612"/>
        <item m="1" x="840"/>
        <item m="1" x="1063"/>
        <item m="1" x="1279"/>
        <item m="1" x="1497"/>
        <item m="1" x="1718"/>
        <item m="1" x="1936"/>
        <item m="1" x="2151"/>
        <item m="1" x="117"/>
        <item m="1" x="459"/>
        <item m="1" x="676"/>
        <item m="1" x="900"/>
        <item m="1" x="1123"/>
        <item m="1" x="1338"/>
        <item m="1" x="1557"/>
        <item m="1" x="1775"/>
        <item m="1" x="1992"/>
        <item m="1" x="565"/>
        <item m="1" x="790"/>
        <item m="1" x="1019"/>
        <item m="1" x="1238"/>
        <item m="1" x="1452"/>
        <item m="1" x="1674"/>
        <item m="1" x="1890"/>
        <item m="1" x="2104"/>
        <item m="1" x="72"/>
        <item m="1" x="268"/>
        <item m="1" x="625"/>
        <item m="1" x="853"/>
        <item m="1" x="1076"/>
        <item m="1" x="1292"/>
        <item m="1" x="1509"/>
        <item m="1" x="1729"/>
        <item m="1" x="1948"/>
        <item m="1" x="129"/>
        <item m="1" x="321"/>
        <item m="1" x="471"/>
        <item m="1" x="693"/>
        <item m="1" x="919"/>
        <item m="1" x="1140"/>
        <item m="1" x="1355"/>
        <item m="1" x="1573"/>
        <item m="1" x="1791"/>
        <item m="1" x="1161"/>
        <item m="1" x="2008"/>
        <item m="1" x="2222"/>
        <item m="1" x="578"/>
        <item m="1" x="804"/>
        <item m="1" x="1032"/>
        <item m="1" x="1251"/>
        <item m="1" x="1463"/>
        <item m="1" x="1685"/>
        <item m="1" x="1902"/>
        <item m="1" x="2116"/>
        <item m="1" x="84"/>
        <item m="1" x="276"/>
        <item m="1" x="434"/>
        <item m="1" x="639"/>
        <item m="1" x="865"/>
        <item m="1" x="1088"/>
        <item m="1" x="1304"/>
        <item m="1" x="1523"/>
        <item m="1" x="1741"/>
        <item m="1" x="1961"/>
        <item m="1" x="2175"/>
        <item m="1" x="142"/>
        <item m="1" x="333"/>
        <item m="1" x="483"/>
        <item m="1" x="712"/>
        <item m="1" x="939"/>
        <item m="1" x="1159"/>
        <item m="1" x="1373"/>
        <item m="1" x="1592"/>
        <item m="1" x="1811"/>
        <item m="1" x="2028"/>
        <item m="1" x="2240"/>
        <item m="1" x="596"/>
        <item m="1" x="822"/>
        <item m="1" x="1919"/>
        <item m="1" x="2134"/>
        <item m="1" x="101"/>
        <item m="1" x="291"/>
        <item m="1" x="443"/>
        <item m="1" x="654"/>
        <item m="1" x="879"/>
        <item m="1" x="1102"/>
        <item m="1" x="1318"/>
        <item m="1" x="1537"/>
        <item m="1" x="1974"/>
        <item m="1" x="2189"/>
        <item m="1" x="159"/>
        <item m="1" x="494"/>
        <item m="1" x="722"/>
        <item m="1" x="949"/>
        <item m="1" x="1170"/>
        <item m="1" x="1383"/>
        <item m="1" x="1602"/>
        <item m="1" x="1821"/>
        <item m="1" x="2037"/>
        <item m="1" x="8"/>
        <item m="1" x="214"/>
        <item m="1" x="609"/>
        <item m="1" x="836"/>
        <item m="1" x="1060"/>
        <item m="1" x="1047"/>
        <item m="1" x="1276"/>
        <item m="1" x="1493"/>
        <item m="1" x="1715"/>
        <item m="1" x="1933"/>
        <item m="1" x="2057"/>
        <item m="1" x="2148"/>
        <item m="1" x="114"/>
        <item m="1" x="305"/>
        <item m="1" x="456"/>
        <item m="1" x="673"/>
        <item m="1" x="897"/>
        <item m="1" x="1120"/>
        <item m="1" x="1336"/>
        <item m="1" x="1555"/>
        <item m="1" x="1773"/>
        <item m="1" x="1990"/>
        <item m="1" x="2206"/>
        <item m="1" x="176"/>
        <item m="1" x="355"/>
        <item m="1" x="505"/>
        <item m="1" x="733"/>
        <item m="1" x="960"/>
        <item m="1" x="1181"/>
        <item m="1" x="1394"/>
        <item m="1" x="1614"/>
        <item m="1" x="1832"/>
        <item m="1" x="2047"/>
        <item m="1" x="18"/>
        <item m="1" x="621"/>
        <item m="1" x="849"/>
        <item m="1" x="1072"/>
        <item m="1" x="1288"/>
        <item m="1" x="1506"/>
        <item m="1" x="1625"/>
        <item m="1" x="1842"/>
        <item m="1" x="1707"/>
        <item m="1" x="1925"/>
        <item m="1" x="2160"/>
        <item m="1" x="126"/>
        <item m="1" x="2219"/>
        <item m="1" x="318"/>
        <item m="1" x="468"/>
        <item m="1" x="690"/>
        <item m="1" x="916"/>
        <item m="1" x="1137"/>
        <item m="1" x="1352"/>
        <item m="1" x="1570"/>
        <item m="1" x="1788"/>
        <item m="1" x="2005"/>
        <item m="1" x="189"/>
        <item m="1" x="369"/>
        <item m="1" x="519"/>
        <item m="1" x="743"/>
        <item m="1" x="971"/>
        <item m="1" x="1193"/>
        <item m="1" x="1406"/>
        <item m="1" x="1628"/>
        <item m="1" x="1845"/>
        <item m="1" x="2060"/>
        <item m="1" x="29"/>
        <item m="1" x="230"/>
        <item m="1" x="636"/>
        <item m="1" x="862"/>
        <item m="1" x="1085"/>
        <item m="1" x="1301"/>
        <item m="1" x="1520"/>
        <item m="1" x="1738"/>
        <item m="1" x="1958"/>
        <item m="1" x="2172"/>
        <item m="1" x="139"/>
        <item m="1" x="330"/>
        <item m="1" x="480"/>
        <item m="1" x="709"/>
        <item m="1" x="936"/>
        <item m="1" x="1156"/>
        <item m="1" x="1370"/>
        <item m="1" x="1589"/>
        <item m="1" x="1808"/>
        <item m="1" x="2025"/>
        <item m="1" x="2237"/>
        <item m="1" x="206"/>
        <item m="1" x="534"/>
        <item m="1" x="759"/>
        <item m="1" x="987"/>
        <item m="1" x="1208"/>
        <item m="1" x="1420"/>
        <item m="1" x="1644"/>
        <item m="1" x="1859"/>
        <item m="1" x="2075"/>
        <item m="1" x="1949"/>
        <item m="1" x="2009"/>
        <item m="1" x="44"/>
        <item m="1" x="245"/>
        <item m="1" x="647"/>
        <item m="1" x="872"/>
        <item m="1" x="1095"/>
        <item m="1" x="1311"/>
        <item m="1" x="1530"/>
        <item m="1" x="1748"/>
        <item m="1" x="1968"/>
        <item m="1" x="2183"/>
        <item m="1" x="153"/>
        <item m="1" x="340"/>
        <item m="1" x="491"/>
        <item m="1" x="719"/>
        <item m="1" x="946"/>
        <item m="1" x="1167"/>
        <item m="1" x="1380"/>
        <item m="1" x="1599"/>
        <item m="1" x="1818"/>
        <item m="1" x="2034"/>
        <item m="1" x="5"/>
        <item m="1" x="211"/>
        <item m="1" x="389"/>
        <item m="1" x="545"/>
        <item m="1" x="772"/>
        <item m="1" x="1000"/>
        <item m="1" x="1221"/>
        <item m="1" x="1434"/>
        <item m="1" x="1657"/>
        <item m="1" x="1511"/>
        <item m="1" x="1872"/>
        <item m="1" x="2088"/>
        <item m="1" x="57"/>
        <item m="1" x="667"/>
        <item m="1" x="891"/>
        <item m="1" x="1114"/>
        <item m="1" x="1330"/>
        <item m="1" x="1549"/>
        <item m="1" x="1767"/>
        <item m="1" x="1986"/>
        <item m="1" x="2202"/>
        <item m="1" x="172"/>
        <item m="1" x="351"/>
        <item m="1" x="501"/>
        <item m="1" x="729"/>
        <item m="1" x="956"/>
        <item m="1" x="1177"/>
        <item m="1" x="1390"/>
        <item m="1" x="1610"/>
        <item m="1" x="1828"/>
        <item m="1" x="2043"/>
        <item m="1" x="14"/>
        <item m="1" x="219"/>
        <item m="1" x="394"/>
        <item m="1" x="558"/>
        <item m="1" x="784"/>
        <item m="1" x="1013"/>
        <item m="1" x="1233"/>
        <item m="1" x="1447"/>
        <item m="1" x="1669"/>
        <item m="1" x="1885"/>
        <item m="1" x="2099"/>
        <item m="1" x="67"/>
        <item m="1" x="263"/>
        <item m="1" x="684"/>
        <item m="1" x="910"/>
        <item m="1" x="1131"/>
        <item m="1" x="1347"/>
        <item m="1" x="1565"/>
        <item m="1" x="1783"/>
        <item m="1" x="366"/>
        <item m="1" x="2000"/>
        <item m="1" x="2214"/>
        <item m="1" x="184"/>
        <item m="1" x="363"/>
        <item m="1" x="514"/>
        <item m="1" x="739"/>
        <item m="1" x="967"/>
        <item m="1" x="1189"/>
        <item m="1" x="1402"/>
        <item m="1" x="1623"/>
        <item m="1" x="1840"/>
        <item m="1" x="2055"/>
        <item m="1" x="25"/>
        <item m="1" x="226"/>
        <item m="1" x="572"/>
        <item m="1" x="797"/>
        <item m="1" x="1026"/>
        <item m="1" x="1245"/>
        <item m="1" x="1457"/>
        <item m="1" x="1679"/>
        <item m="1" x="1896"/>
        <item m="1" x="2110"/>
        <item m="1" x="78"/>
        <item m="1" x="703"/>
        <item m="1" x="930"/>
        <item m="1" x="1150"/>
        <item m="1" x="1365"/>
        <item m="1" x="1584"/>
        <item m="1" x="1802"/>
        <item m="1" x="2020"/>
        <item m="1" x="2232"/>
        <item m="1" x="202"/>
        <item m="1" x="379"/>
        <item m="1" x="529"/>
        <item m="1" x="754"/>
        <item m="1" x="982"/>
        <item m="1" x="1204"/>
        <item m="1" x="1416"/>
        <item m="1" x="1640"/>
        <item m="1" x="1855"/>
        <item m="1" x="2071"/>
        <item m="1" x="40"/>
        <item m="1" x="241"/>
        <item m="1" x="408"/>
        <item m="1" x="587"/>
        <item m="1" x="813"/>
        <item m="1" x="1039"/>
        <item m="1" x="1256"/>
        <item m="1" x="1472"/>
        <item m="1" x="1694"/>
        <item m="1" x="1911"/>
        <item m="1" x="2125"/>
        <item m="1" x="93"/>
        <item m="1" x="282"/>
        <item m="1" x="540"/>
        <item m="1" x="767"/>
        <item m="1" x="995"/>
        <item m="1" x="1216"/>
        <item m="1" x="1429"/>
        <item m="1" x="1804"/>
        <item m="1" x="1652"/>
        <item m="1" x="1867"/>
        <item m="1" x="2083"/>
        <item m="1" x="52"/>
        <item m="1" x="253"/>
        <item m="1" x="381"/>
        <item m="1" x="531"/>
        <item m="1" x="756"/>
        <item m="1" x="984"/>
        <item m="1" x="416"/>
        <item m="1" x="601"/>
        <item m="1" x="827"/>
        <item m="1" x="1052"/>
        <item m="1" x="1268"/>
        <item m="1" x="1485"/>
        <item m="1" x="1706"/>
        <item m="1" x="1924"/>
        <item m="1" x="2140"/>
        <item m="1" x="106"/>
        <item m="1" x="296"/>
        <item m="1" x="448"/>
        <item m="1" x="659"/>
        <item m="1" x="884"/>
        <item m="1" x="1107"/>
        <item m="1" x="1323"/>
        <item m="1" x="1542"/>
        <item m="1" x="1760"/>
        <item m="1" x="1979"/>
        <item m="1" x="2195"/>
        <item m="1" x="165"/>
        <item m="1" x="553"/>
        <item m="1" x="779"/>
        <item m="1" x="1008"/>
        <item m="1" x="1228"/>
        <item m="1" x="1442"/>
        <item m="1" x="1664"/>
        <item m="1" x="1880"/>
        <item m="1" x="2094"/>
        <item m="1" x="63"/>
        <item m="1" x="259"/>
        <item m="1" x="423"/>
        <item m="1" x="613"/>
        <item m="1" x="841"/>
        <item m="1" x="1064"/>
        <item m="1" x="1280"/>
        <item m="1" x="1498"/>
        <item m="1" x="1719"/>
        <item m="1" x="1937"/>
        <item m="1" x="2152"/>
        <item m="1" x="118"/>
        <item m="1" x="310"/>
        <item m="1" x="460"/>
        <item m="1" x="677"/>
        <item m="1" x="901"/>
        <item m="1" x="1124"/>
        <item m="1" x="1339"/>
        <item m="1" x="1558"/>
        <item m="1" x="1776"/>
        <item m="1" x="567"/>
        <item m="1" x="792"/>
        <item m="1" x="1021"/>
        <item m="1" x="1240"/>
        <item m="1" x="1453"/>
        <item m="1" x="1675"/>
        <item m="1" x="1892"/>
        <item m="1" x="2106"/>
        <item m="1" x="74"/>
        <item m="1" x="269"/>
        <item m="1" x="428"/>
        <item m="1" x="580"/>
        <item m="1" x="806"/>
        <item m="1" x="1033"/>
        <item m="1" x="1252"/>
        <item m="1" x="1465"/>
        <item m="1" x="1687"/>
        <item m="1" x="1904"/>
        <item m="1" x="2118"/>
        <item m="1" x="86"/>
        <item m="1" x="277"/>
        <item m="1" x="435"/>
        <item m="1" x="640"/>
        <item m="1" x="866"/>
        <item m="1" x="1089"/>
        <item m="1" x="1305"/>
        <item m="1" x="1524"/>
        <item m="1" x="1742"/>
        <item m="1" x="1962"/>
        <item m="1" x="2176"/>
        <item m="1" x="2178"/>
        <item m="1" x="2191"/>
        <item m="1" x="161"/>
        <item m="1" x="334"/>
        <item m="1" x="344"/>
        <item m="1" x="484"/>
        <item m="1" x="713"/>
        <item m="1" x="940"/>
        <item m="1" x="1160"/>
        <item m="1" x="1374"/>
        <item m="1" x="1593"/>
        <item m="1" x="1812"/>
        <item m="1" x="2029"/>
        <item m="1" x="2241"/>
        <item t="default"/>
      </items>
    </pivotField>
    <pivotField dataField="1" compact="0" outline="0" subtotalTop="0" showAll="0" includeNewItemsInFilter="1"/>
  </pivotFields>
  <rowFields count="1">
    <field x="0"/>
  </rowFields>
  <rowItems count="1">
    <i t="grand">
      <x/>
    </i>
  </rowItems>
  <colItems count="1">
    <i/>
  </colItems>
  <dataFields count="1">
    <dataField name="Suma de Monto" fld="1" baseField="0" baseItem="0" numFmtId="166"/>
  </dataFields>
  <formats count="3">
    <format dxfId="27">
      <pivotArea outline="0" fieldPosition="0"/>
    </format>
    <format dxfId="26">
      <pivotArea type="topRight" dataOnly="0" labelOnly="1" outline="0" fieldPosition="0"/>
    </format>
    <format dxfId="25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922"/>
  <sheetViews>
    <sheetView topLeftCell="A7" workbookViewId="0">
      <selection activeCell="F4" sqref="F4:F35"/>
    </sheetView>
  </sheetViews>
  <sheetFormatPr baseColWidth="10" defaultColWidth="11.453125" defaultRowHeight="12.5" x14ac:dyDescent="0.25"/>
  <cols>
    <col min="1" max="1" width="11.54296875" bestFit="1" customWidth="1"/>
    <col min="2" max="2" width="21.1796875" customWidth="1"/>
    <col min="3" max="3" width="15" style="58" bestFit="1" customWidth="1"/>
    <col min="4" max="4" width="12.81640625" customWidth="1"/>
    <col min="5" max="5" width="13.7265625" customWidth="1"/>
    <col min="6" max="6" width="14.1796875" customWidth="1"/>
    <col min="7" max="7" width="19.453125" customWidth="1"/>
  </cols>
  <sheetData>
    <row r="1" spans="1:12" x14ac:dyDescent="0.25">
      <c r="A1" s="1" t="s">
        <v>0</v>
      </c>
      <c r="B1" s="1"/>
      <c r="C1" s="56"/>
      <c r="D1" s="3"/>
      <c r="E1" s="4"/>
      <c r="F1" s="4"/>
      <c r="G1" s="1"/>
      <c r="L1" t="s">
        <v>1</v>
      </c>
    </row>
    <row r="2" spans="1:12" x14ac:dyDescent="0.25">
      <c r="A2" s="1"/>
      <c r="B2" s="1"/>
      <c r="C2" s="66"/>
      <c r="D2" s="4"/>
      <c r="E2" s="4"/>
      <c r="F2" s="4"/>
      <c r="G2" s="1"/>
    </row>
    <row r="3" spans="1:12" ht="26" x14ac:dyDescent="0.25">
      <c r="A3" s="5" t="s">
        <v>2</v>
      </c>
      <c r="B3" s="5" t="s">
        <v>3</v>
      </c>
      <c r="C3" s="57" t="s">
        <v>4</v>
      </c>
      <c r="D3" s="6" t="s">
        <v>5</v>
      </c>
      <c r="E3" s="6" t="s">
        <v>6</v>
      </c>
      <c r="F3" s="6" t="s">
        <v>7</v>
      </c>
      <c r="G3" s="5" t="s">
        <v>8</v>
      </c>
    </row>
    <row r="4" spans="1:12" x14ac:dyDescent="0.25">
      <c r="A4" s="69">
        <v>44409</v>
      </c>
      <c r="B4" s="75"/>
      <c r="C4" s="70"/>
      <c r="D4" s="29"/>
      <c r="E4" s="29"/>
      <c r="F4" s="29">
        <f>E4-D4</f>
        <v>0</v>
      </c>
      <c r="G4" s="28"/>
    </row>
    <row r="5" spans="1:12" x14ac:dyDescent="0.25">
      <c r="A5" s="69">
        <v>44410</v>
      </c>
      <c r="B5" s="28"/>
      <c r="C5" s="71"/>
      <c r="D5" s="29"/>
      <c r="E5" s="29"/>
      <c r="F5" s="29">
        <f t="shared" ref="F5:F35" si="0">E5-D5</f>
        <v>0</v>
      </c>
      <c r="G5" s="28"/>
    </row>
    <row r="6" spans="1:12" x14ac:dyDescent="0.25">
      <c r="A6" s="69">
        <v>44411</v>
      </c>
      <c r="B6" s="28"/>
      <c r="C6" s="70"/>
      <c r="D6" s="29"/>
      <c r="E6" s="29"/>
      <c r="F6" s="29">
        <f t="shared" si="0"/>
        <v>0</v>
      </c>
      <c r="G6" s="28"/>
    </row>
    <row r="7" spans="1:12" x14ac:dyDescent="0.25">
      <c r="A7" s="69">
        <v>44412</v>
      </c>
      <c r="B7" s="28"/>
      <c r="C7" s="70"/>
      <c r="D7" s="29"/>
      <c r="E7" s="29"/>
      <c r="F7" s="29">
        <f t="shared" si="0"/>
        <v>0</v>
      </c>
      <c r="G7" s="28"/>
    </row>
    <row r="8" spans="1:12" x14ac:dyDescent="0.25">
      <c r="A8" s="69">
        <v>44413</v>
      </c>
      <c r="B8" s="28"/>
      <c r="C8" s="72"/>
      <c r="D8" s="29"/>
      <c r="E8" s="29"/>
      <c r="F8" s="29">
        <f t="shared" si="0"/>
        <v>0</v>
      </c>
      <c r="G8" s="28"/>
    </row>
    <row r="9" spans="1:12" x14ac:dyDescent="0.25">
      <c r="A9" s="69">
        <v>44414</v>
      </c>
      <c r="B9" s="28"/>
      <c r="C9" s="72"/>
      <c r="D9" s="29"/>
      <c r="E9" s="29"/>
      <c r="F9" s="29">
        <f t="shared" si="0"/>
        <v>0</v>
      </c>
      <c r="G9" s="28"/>
    </row>
    <row r="10" spans="1:12" x14ac:dyDescent="0.25">
      <c r="A10" s="69">
        <v>44415</v>
      </c>
      <c r="B10" s="80"/>
      <c r="C10" s="72"/>
      <c r="D10" s="81"/>
      <c r="E10" s="81"/>
      <c r="F10" s="29">
        <f t="shared" si="0"/>
        <v>0</v>
      </c>
      <c r="G10" s="28"/>
    </row>
    <row r="11" spans="1:12" x14ac:dyDescent="0.25">
      <c r="A11" s="69">
        <v>44416</v>
      </c>
      <c r="B11" s="73"/>
      <c r="C11" s="72"/>
      <c r="D11" s="29"/>
      <c r="E11" s="29"/>
      <c r="F11" s="29">
        <f t="shared" si="0"/>
        <v>0</v>
      </c>
      <c r="G11" s="28"/>
    </row>
    <row r="12" spans="1:12" x14ac:dyDescent="0.25">
      <c r="A12" s="69">
        <v>44417</v>
      </c>
      <c r="B12" s="80"/>
      <c r="C12" s="72"/>
      <c r="D12" s="29"/>
      <c r="E12" s="29"/>
      <c r="F12" s="29">
        <f t="shared" si="0"/>
        <v>0</v>
      </c>
      <c r="G12" s="28"/>
    </row>
    <row r="13" spans="1:12" x14ac:dyDescent="0.25">
      <c r="A13" s="69">
        <v>44418</v>
      </c>
      <c r="B13" s="73"/>
      <c r="C13" s="72"/>
      <c r="D13" s="29"/>
      <c r="E13" s="29"/>
      <c r="F13" s="29">
        <f t="shared" si="0"/>
        <v>0</v>
      </c>
      <c r="G13" s="28"/>
    </row>
    <row r="14" spans="1:12" x14ac:dyDescent="0.25">
      <c r="A14" s="69">
        <v>44419</v>
      </c>
      <c r="B14" s="80"/>
      <c r="C14" s="72"/>
      <c r="D14" s="29"/>
      <c r="E14" s="29"/>
      <c r="F14" s="29">
        <f t="shared" si="0"/>
        <v>0</v>
      </c>
      <c r="G14" s="28"/>
    </row>
    <row r="15" spans="1:12" s="25" customFormat="1" x14ac:dyDescent="0.25">
      <c r="A15" s="69">
        <v>44420</v>
      </c>
      <c r="B15" s="73"/>
      <c r="C15" s="72"/>
      <c r="D15" s="29"/>
      <c r="E15" s="29"/>
      <c r="F15" s="29">
        <f t="shared" si="0"/>
        <v>0</v>
      </c>
      <c r="G15" s="28"/>
    </row>
    <row r="16" spans="1:12" x14ac:dyDescent="0.25">
      <c r="A16" s="69">
        <v>44421</v>
      </c>
      <c r="B16" s="80"/>
      <c r="C16" s="72"/>
      <c r="D16" s="29"/>
      <c r="E16" s="29"/>
      <c r="F16" s="29">
        <f t="shared" si="0"/>
        <v>0</v>
      </c>
      <c r="G16" s="28"/>
    </row>
    <row r="17" spans="1:7" x14ac:dyDescent="0.25">
      <c r="A17" s="69">
        <v>44422</v>
      </c>
      <c r="B17" s="73"/>
      <c r="C17" s="72"/>
      <c r="D17" s="29"/>
      <c r="E17" s="29"/>
      <c r="F17" s="29">
        <f t="shared" si="0"/>
        <v>0</v>
      </c>
      <c r="G17" s="28"/>
    </row>
    <row r="18" spans="1:7" x14ac:dyDescent="0.25">
      <c r="A18" s="69">
        <v>44423</v>
      </c>
      <c r="B18" s="80"/>
      <c r="C18" s="70"/>
      <c r="D18" s="29"/>
      <c r="E18" s="29"/>
      <c r="F18" s="29">
        <f t="shared" si="0"/>
        <v>0</v>
      </c>
      <c r="G18" s="28"/>
    </row>
    <row r="19" spans="1:7" x14ac:dyDescent="0.25">
      <c r="A19" s="69">
        <v>44424</v>
      </c>
      <c r="B19" s="73"/>
      <c r="C19" s="70"/>
      <c r="D19" s="29"/>
      <c r="E19" s="29"/>
      <c r="F19" s="29">
        <f t="shared" si="0"/>
        <v>0</v>
      </c>
      <c r="G19" s="28"/>
    </row>
    <row r="20" spans="1:7" x14ac:dyDescent="0.25">
      <c r="A20" s="69">
        <v>44425</v>
      </c>
      <c r="B20" s="80"/>
      <c r="C20" s="70"/>
      <c r="D20" s="29"/>
      <c r="E20" s="29"/>
      <c r="F20" s="29">
        <f t="shared" si="0"/>
        <v>0</v>
      </c>
      <c r="G20" s="28"/>
    </row>
    <row r="21" spans="1:7" x14ac:dyDescent="0.25">
      <c r="A21" s="69">
        <v>44426</v>
      </c>
      <c r="B21" s="73"/>
      <c r="C21" s="70"/>
      <c r="D21" s="29"/>
      <c r="E21" s="29"/>
      <c r="F21" s="29">
        <f t="shared" si="0"/>
        <v>0</v>
      </c>
      <c r="G21" s="28"/>
    </row>
    <row r="22" spans="1:7" x14ac:dyDescent="0.25">
      <c r="A22" s="69">
        <v>44427</v>
      </c>
      <c r="B22" s="80"/>
      <c r="C22" s="70"/>
      <c r="D22" s="29"/>
      <c r="E22" s="29"/>
      <c r="F22" s="29">
        <f t="shared" si="0"/>
        <v>0</v>
      </c>
      <c r="G22" s="28"/>
    </row>
    <row r="23" spans="1:7" x14ac:dyDescent="0.25">
      <c r="A23" s="69">
        <v>44428</v>
      </c>
      <c r="B23" s="28"/>
      <c r="C23" s="70"/>
      <c r="D23" s="29"/>
      <c r="E23" s="29"/>
      <c r="F23" s="29">
        <f t="shared" si="0"/>
        <v>0</v>
      </c>
      <c r="G23" s="28"/>
    </row>
    <row r="24" spans="1:7" x14ac:dyDescent="0.25">
      <c r="A24" s="69">
        <v>44429</v>
      </c>
      <c r="B24" s="28"/>
      <c r="C24" s="70"/>
      <c r="D24" s="29"/>
      <c r="E24" s="29"/>
      <c r="F24" s="29">
        <f t="shared" si="0"/>
        <v>0</v>
      </c>
      <c r="G24" s="28"/>
    </row>
    <row r="25" spans="1:7" x14ac:dyDescent="0.25">
      <c r="A25" s="69">
        <v>44430</v>
      </c>
      <c r="B25" s="28"/>
      <c r="C25" s="70"/>
      <c r="D25" s="29"/>
      <c r="E25" s="29"/>
      <c r="F25" s="29">
        <f t="shared" si="0"/>
        <v>0</v>
      </c>
      <c r="G25" s="28"/>
    </row>
    <row r="26" spans="1:7" x14ac:dyDescent="0.25">
      <c r="A26" s="69">
        <v>44431</v>
      </c>
      <c r="B26" s="28"/>
      <c r="C26" s="70"/>
      <c r="D26" s="29"/>
      <c r="E26" s="29"/>
      <c r="F26" s="29">
        <f t="shared" si="0"/>
        <v>0</v>
      </c>
      <c r="G26" s="28"/>
    </row>
    <row r="27" spans="1:7" x14ac:dyDescent="0.25">
      <c r="A27" s="69">
        <v>44432</v>
      </c>
      <c r="B27" s="28"/>
      <c r="C27" s="70"/>
      <c r="D27" s="29"/>
      <c r="E27" s="29"/>
      <c r="F27" s="29">
        <f t="shared" si="0"/>
        <v>0</v>
      </c>
      <c r="G27" s="28"/>
    </row>
    <row r="28" spans="1:7" x14ac:dyDescent="0.25">
      <c r="A28" s="69">
        <v>44433</v>
      </c>
      <c r="B28" s="28"/>
      <c r="C28" s="70"/>
      <c r="D28" s="29"/>
      <c r="E28" s="29"/>
      <c r="F28" s="29">
        <f t="shared" si="0"/>
        <v>0</v>
      </c>
      <c r="G28" s="28"/>
    </row>
    <row r="29" spans="1:7" x14ac:dyDescent="0.25">
      <c r="A29" s="69">
        <v>44434</v>
      </c>
      <c r="B29" s="28"/>
      <c r="C29" s="70"/>
      <c r="D29" s="29"/>
      <c r="E29" s="29"/>
      <c r="F29" s="29">
        <f t="shared" si="0"/>
        <v>0</v>
      </c>
      <c r="G29" s="28"/>
    </row>
    <row r="30" spans="1:7" x14ac:dyDescent="0.25">
      <c r="A30" s="69">
        <v>44435</v>
      </c>
      <c r="B30" s="80"/>
      <c r="C30" s="70"/>
      <c r="D30" s="81"/>
      <c r="E30" s="81"/>
      <c r="F30" s="29">
        <f t="shared" si="0"/>
        <v>0</v>
      </c>
      <c r="G30" s="28"/>
    </row>
    <row r="31" spans="1:7" x14ac:dyDescent="0.25">
      <c r="A31" s="69">
        <v>44436</v>
      </c>
      <c r="B31" s="28"/>
      <c r="C31" s="70"/>
      <c r="D31" s="29"/>
      <c r="E31" s="29"/>
      <c r="F31" s="29">
        <f t="shared" si="0"/>
        <v>0</v>
      </c>
      <c r="G31" s="28"/>
    </row>
    <row r="32" spans="1:7" x14ac:dyDescent="0.25">
      <c r="A32" s="69">
        <v>44437</v>
      </c>
      <c r="B32" s="28"/>
      <c r="C32" s="70"/>
      <c r="D32" s="29"/>
      <c r="E32" s="29"/>
      <c r="F32" s="29">
        <f t="shared" si="0"/>
        <v>0</v>
      </c>
      <c r="G32" s="28"/>
    </row>
    <row r="33" spans="1:7" x14ac:dyDescent="0.25">
      <c r="A33" s="69">
        <v>44438</v>
      </c>
      <c r="B33" s="28"/>
      <c r="C33" s="70"/>
      <c r="D33" s="29"/>
      <c r="E33" s="29"/>
      <c r="F33" s="29">
        <f t="shared" si="0"/>
        <v>0</v>
      </c>
      <c r="G33" s="28"/>
    </row>
    <row r="34" spans="1:7" x14ac:dyDescent="0.25">
      <c r="A34" s="69">
        <v>44439</v>
      </c>
      <c r="B34" s="28"/>
      <c r="C34" s="70"/>
      <c r="D34" s="29"/>
      <c r="E34" s="29"/>
      <c r="F34" s="29">
        <f t="shared" si="0"/>
        <v>0</v>
      </c>
      <c r="G34" s="28"/>
    </row>
    <row r="35" spans="1:7" x14ac:dyDescent="0.25">
      <c r="A35" s="69"/>
      <c r="B35" s="28"/>
      <c r="C35" s="70"/>
      <c r="D35" s="29"/>
      <c r="E35" s="29"/>
      <c r="F35" s="29">
        <f t="shared" si="0"/>
        <v>0</v>
      </c>
      <c r="G35" s="28"/>
    </row>
    <row r="36" spans="1:7" x14ac:dyDescent="0.25">
      <c r="A36" s="69"/>
      <c r="B36" s="28"/>
      <c r="C36" s="70"/>
      <c r="D36" s="29"/>
      <c r="E36" s="29"/>
      <c r="F36" s="29"/>
      <c r="G36" s="28"/>
    </row>
    <row r="37" spans="1:7" x14ac:dyDescent="0.25">
      <c r="A37" s="69"/>
      <c r="B37" s="130"/>
      <c r="C37" s="131"/>
      <c r="D37" s="132"/>
      <c r="E37" s="132"/>
      <c r="F37" s="132"/>
      <c r="G37" s="130"/>
    </row>
    <row r="38" spans="1:7" x14ac:dyDescent="0.25">
      <c r="A38" s="69"/>
      <c r="B38" s="130"/>
      <c r="C38" s="131"/>
      <c r="D38" s="132"/>
      <c r="E38" s="132"/>
      <c r="F38" s="132"/>
      <c r="G38" s="130"/>
    </row>
    <row r="39" spans="1:7" x14ac:dyDescent="0.25">
      <c r="A39" s="69"/>
      <c r="B39" s="130"/>
      <c r="C39" s="131"/>
      <c r="D39" s="132"/>
      <c r="E39" s="132"/>
      <c r="F39" s="132"/>
      <c r="G39" s="130"/>
    </row>
    <row r="40" spans="1:7" x14ac:dyDescent="0.25">
      <c r="A40" s="69"/>
      <c r="B40" s="130"/>
      <c r="C40" s="131"/>
      <c r="D40" s="132"/>
      <c r="E40" s="132"/>
      <c r="F40" s="132"/>
      <c r="G40" s="130"/>
    </row>
    <row r="41" spans="1:7" x14ac:dyDescent="0.25">
      <c r="A41" s="69"/>
      <c r="B41" s="130"/>
      <c r="C41" s="131"/>
      <c r="D41" s="132"/>
      <c r="E41" s="132"/>
      <c r="F41" s="132"/>
      <c r="G41" s="130"/>
    </row>
    <row r="42" spans="1:7" x14ac:dyDescent="0.25">
      <c r="A42" s="69"/>
      <c r="B42" s="130"/>
      <c r="C42" s="131"/>
      <c r="D42" s="132"/>
      <c r="E42" s="132"/>
      <c r="F42" s="132"/>
      <c r="G42" s="130"/>
    </row>
    <row r="43" spans="1:7" x14ac:dyDescent="0.25">
      <c r="A43" s="69"/>
      <c r="B43" s="130"/>
      <c r="C43" s="131"/>
      <c r="D43" s="132"/>
      <c r="E43" s="132"/>
      <c r="F43" s="132"/>
      <c r="G43" s="130"/>
    </row>
    <row r="44" spans="1:7" x14ac:dyDescent="0.25">
      <c r="A44" s="69"/>
      <c r="B44" s="130"/>
      <c r="C44" s="131"/>
      <c r="D44" s="132"/>
      <c r="E44" s="132"/>
      <c r="F44" s="132"/>
      <c r="G44" s="130"/>
    </row>
    <row r="45" spans="1:7" x14ac:dyDescent="0.25">
      <c r="A45" s="69"/>
      <c r="B45" s="130"/>
      <c r="C45" s="131"/>
      <c r="D45" s="132"/>
      <c r="E45" s="132"/>
      <c r="F45" s="132"/>
      <c r="G45" s="130"/>
    </row>
    <row r="46" spans="1:7" x14ac:dyDescent="0.25">
      <c r="A46" s="69"/>
      <c r="B46" s="130"/>
      <c r="C46" s="131"/>
      <c r="D46" s="132"/>
      <c r="E46" s="132"/>
      <c r="F46" s="132"/>
      <c r="G46" s="130"/>
    </row>
    <row r="47" spans="1:7" x14ac:dyDescent="0.25">
      <c r="A47" s="69"/>
      <c r="B47" s="130"/>
      <c r="C47" s="131"/>
      <c r="D47" s="132"/>
      <c r="E47" s="132"/>
      <c r="F47" s="132"/>
      <c r="G47" s="130"/>
    </row>
    <row r="48" spans="1:7" x14ac:dyDescent="0.25">
      <c r="A48" s="69"/>
      <c r="B48" s="130"/>
      <c r="C48" s="131"/>
      <c r="D48" s="132"/>
      <c r="E48" s="132"/>
      <c r="F48" s="132"/>
      <c r="G48" s="130"/>
    </row>
    <row r="49" spans="1:7" x14ac:dyDescent="0.25">
      <c r="A49" s="69"/>
      <c r="B49" s="130"/>
      <c r="C49" s="131"/>
      <c r="D49" s="132"/>
      <c r="E49" s="132"/>
      <c r="F49" s="132"/>
      <c r="G49" s="130"/>
    </row>
    <row r="50" spans="1:7" x14ac:dyDescent="0.25">
      <c r="A50" s="69"/>
      <c r="B50" s="130"/>
      <c r="C50" s="131"/>
      <c r="D50" s="132"/>
      <c r="E50" s="132"/>
      <c r="F50" s="132"/>
      <c r="G50" s="130"/>
    </row>
    <row r="51" spans="1:7" x14ac:dyDescent="0.25">
      <c r="A51" s="69"/>
      <c r="B51" s="130"/>
      <c r="C51" s="131"/>
      <c r="D51" s="132"/>
      <c r="E51" s="132"/>
      <c r="F51" s="132"/>
      <c r="G51" s="130"/>
    </row>
    <row r="52" spans="1:7" x14ac:dyDescent="0.25">
      <c r="A52" s="69"/>
      <c r="B52" s="130"/>
      <c r="C52" s="131"/>
      <c r="D52" s="132"/>
      <c r="E52" s="132"/>
      <c r="F52" s="132"/>
      <c r="G52" s="130"/>
    </row>
    <row r="53" spans="1:7" x14ac:dyDescent="0.25">
      <c r="A53" s="69"/>
      <c r="B53" s="130"/>
      <c r="C53" s="131"/>
      <c r="D53" s="132"/>
      <c r="E53" s="132"/>
      <c r="F53" s="132"/>
      <c r="G53" s="130"/>
    </row>
    <row r="54" spans="1:7" x14ac:dyDescent="0.25">
      <c r="A54" s="69"/>
      <c r="B54" s="130"/>
      <c r="C54" s="131"/>
      <c r="D54" s="132"/>
      <c r="E54" s="132"/>
      <c r="F54" s="132"/>
      <c r="G54" s="130"/>
    </row>
    <row r="55" spans="1:7" x14ac:dyDescent="0.25">
      <c r="A55" s="69"/>
      <c r="B55" s="130"/>
      <c r="C55" s="131"/>
      <c r="D55" s="132"/>
      <c r="E55" s="132"/>
      <c r="F55" s="132"/>
      <c r="G55" s="130"/>
    </row>
    <row r="56" spans="1:7" x14ac:dyDescent="0.25">
      <c r="A56" s="69"/>
      <c r="B56" s="130"/>
      <c r="C56" s="131"/>
      <c r="D56" s="132"/>
      <c r="E56" s="132"/>
      <c r="F56" s="132"/>
      <c r="G56" s="130"/>
    </row>
    <row r="57" spans="1:7" x14ac:dyDescent="0.25">
      <c r="A57" s="69"/>
      <c r="B57" s="130"/>
      <c r="C57" s="131"/>
      <c r="D57" s="132"/>
      <c r="E57" s="132"/>
      <c r="F57" s="132"/>
      <c r="G57" s="130"/>
    </row>
    <row r="58" spans="1:7" x14ac:dyDescent="0.25">
      <c r="A58" s="69"/>
      <c r="B58" s="130"/>
      <c r="C58" s="131"/>
      <c r="D58" s="132"/>
      <c r="E58" s="132"/>
      <c r="F58" s="132"/>
      <c r="G58" s="130"/>
    </row>
    <row r="59" spans="1:7" x14ac:dyDescent="0.25">
      <c r="A59" s="69"/>
      <c r="B59" s="130"/>
      <c r="C59" s="131"/>
      <c r="D59" s="132"/>
      <c r="E59" s="132"/>
      <c r="F59" s="132"/>
      <c r="G59" s="130"/>
    </row>
    <row r="60" spans="1:7" x14ac:dyDescent="0.25">
      <c r="A60" s="69"/>
      <c r="B60" s="130"/>
      <c r="C60" s="131"/>
      <c r="D60" s="132"/>
      <c r="E60" s="132"/>
      <c r="F60" s="132"/>
      <c r="G60" s="130"/>
    </row>
    <row r="61" spans="1:7" x14ac:dyDescent="0.25">
      <c r="A61" s="69"/>
      <c r="B61" s="130"/>
      <c r="C61" s="131"/>
      <c r="D61" s="132"/>
      <c r="E61" s="132"/>
      <c r="F61" s="132"/>
      <c r="G61" s="130"/>
    </row>
    <row r="62" spans="1:7" x14ac:dyDescent="0.25">
      <c r="A62" s="69"/>
      <c r="B62" s="130"/>
      <c r="C62" s="131"/>
      <c r="D62" s="132"/>
      <c r="E62" s="132"/>
      <c r="F62" s="132"/>
      <c r="G62" s="130"/>
    </row>
    <row r="63" spans="1:7" x14ac:dyDescent="0.25">
      <c r="A63" s="69"/>
      <c r="B63" s="130"/>
      <c r="C63" s="131"/>
      <c r="D63" s="132"/>
      <c r="E63" s="132"/>
      <c r="F63" s="132"/>
      <c r="G63" s="130"/>
    </row>
    <row r="64" spans="1:7" x14ac:dyDescent="0.25">
      <c r="A64" s="69"/>
      <c r="B64" s="130"/>
      <c r="C64" s="131"/>
      <c r="D64" s="132"/>
      <c r="E64" s="132"/>
      <c r="F64" s="132"/>
      <c r="G64" s="130"/>
    </row>
    <row r="65" spans="1:7" x14ac:dyDescent="0.25">
      <c r="A65" s="69"/>
      <c r="B65" s="130"/>
      <c r="C65" s="131"/>
      <c r="D65" s="132"/>
      <c r="E65" s="132"/>
      <c r="F65" s="132"/>
      <c r="G65" s="130"/>
    </row>
    <row r="66" spans="1:7" x14ac:dyDescent="0.25">
      <c r="A66" s="69"/>
      <c r="B66" s="130"/>
      <c r="C66" s="131"/>
      <c r="D66" s="132"/>
      <c r="E66" s="132"/>
      <c r="F66" s="132"/>
      <c r="G66" s="130"/>
    </row>
    <row r="67" spans="1:7" x14ac:dyDescent="0.25">
      <c r="A67" s="69"/>
      <c r="B67" s="130"/>
      <c r="C67" s="131"/>
      <c r="D67" s="132"/>
      <c r="E67" s="132"/>
      <c r="F67" s="132"/>
      <c r="G67" s="130"/>
    </row>
    <row r="68" spans="1:7" x14ac:dyDescent="0.25">
      <c r="A68" s="69"/>
      <c r="B68" s="130"/>
      <c r="C68" s="131"/>
      <c r="D68" s="132"/>
      <c r="E68" s="132"/>
      <c r="F68" s="132"/>
      <c r="G68" s="130"/>
    </row>
    <row r="69" spans="1:7" x14ac:dyDescent="0.25">
      <c r="A69" s="69"/>
      <c r="B69" s="130"/>
      <c r="C69" s="131"/>
      <c r="D69" s="132"/>
      <c r="E69" s="132"/>
      <c r="F69" s="132"/>
      <c r="G69" s="130"/>
    </row>
    <row r="70" spans="1:7" x14ac:dyDescent="0.25">
      <c r="A70" s="69"/>
      <c r="B70" s="130"/>
      <c r="C70" s="131"/>
      <c r="D70" s="132"/>
      <c r="E70" s="132"/>
      <c r="F70" s="132"/>
      <c r="G70" s="130"/>
    </row>
    <row r="71" spans="1:7" x14ac:dyDescent="0.25">
      <c r="A71" s="69"/>
      <c r="B71" s="130"/>
      <c r="C71" s="131"/>
      <c r="D71" s="132"/>
      <c r="E71" s="132"/>
      <c r="F71" s="132"/>
      <c r="G71" s="130"/>
    </row>
    <row r="72" spans="1:7" x14ac:dyDescent="0.25">
      <c r="A72" s="69"/>
      <c r="B72" s="130"/>
      <c r="C72" s="131"/>
      <c r="D72" s="132"/>
      <c r="E72" s="132"/>
      <c r="F72" s="132"/>
      <c r="G72" s="130"/>
    </row>
    <row r="73" spans="1:7" x14ac:dyDescent="0.25">
      <c r="A73" s="69"/>
      <c r="B73" s="130"/>
      <c r="C73" s="131"/>
      <c r="D73" s="132"/>
      <c r="E73" s="132"/>
      <c r="F73" s="132"/>
      <c r="G73" s="130"/>
    </row>
    <row r="74" spans="1:7" x14ac:dyDescent="0.25">
      <c r="A74" s="69"/>
      <c r="B74" s="130"/>
      <c r="C74" s="131"/>
      <c r="D74" s="132"/>
      <c r="E74" s="132"/>
      <c r="F74" s="132"/>
      <c r="G74" s="130"/>
    </row>
    <row r="75" spans="1:7" x14ac:dyDescent="0.25">
      <c r="A75" s="69"/>
      <c r="B75" s="130"/>
      <c r="C75" s="131"/>
      <c r="D75" s="132"/>
      <c r="E75" s="132"/>
      <c r="F75" s="132"/>
      <c r="G75" s="130"/>
    </row>
    <row r="76" spans="1:7" x14ac:dyDescent="0.25">
      <c r="A76" s="69"/>
      <c r="B76" s="130"/>
      <c r="C76" s="131"/>
      <c r="D76" s="132"/>
      <c r="E76" s="132"/>
      <c r="F76" s="132"/>
      <c r="G76" s="130"/>
    </row>
    <row r="77" spans="1:7" x14ac:dyDescent="0.25">
      <c r="A77" s="69"/>
      <c r="B77" s="130"/>
      <c r="C77" s="131"/>
      <c r="D77" s="132"/>
      <c r="E77" s="132"/>
      <c r="F77" s="132"/>
      <c r="G77" s="130"/>
    </row>
    <row r="78" spans="1:7" x14ac:dyDescent="0.25">
      <c r="A78" s="69"/>
      <c r="B78" s="130"/>
      <c r="C78" s="131"/>
      <c r="D78" s="132"/>
      <c r="E78" s="132"/>
      <c r="F78" s="132"/>
      <c r="G78" s="130"/>
    </row>
    <row r="79" spans="1:7" x14ac:dyDescent="0.25">
      <c r="A79" s="69"/>
      <c r="B79" s="130"/>
      <c r="C79" s="131"/>
      <c r="D79" s="132"/>
      <c r="E79" s="132"/>
      <c r="F79" s="132"/>
      <c r="G79" s="130"/>
    </row>
    <row r="80" spans="1:7" x14ac:dyDescent="0.25">
      <c r="A80" s="69"/>
      <c r="B80" s="130"/>
      <c r="C80" s="131"/>
      <c r="D80" s="132"/>
      <c r="E80" s="132"/>
      <c r="F80" s="132"/>
      <c r="G80" s="130"/>
    </row>
    <row r="81" spans="1:10" x14ac:dyDescent="0.25">
      <c r="A81" s="69"/>
      <c r="B81" s="130"/>
      <c r="C81" s="131"/>
      <c r="D81" s="132"/>
      <c r="E81" s="132"/>
      <c r="F81" s="132"/>
      <c r="G81" s="130"/>
    </row>
    <row r="82" spans="1:10" x14ac:dyDescent="0.25">
      <c r="A82" s="69"/>
      <c r="B82" s="130"/>
      <c r="C82" s="131"/>
      <c r="D82" s="132"/>
      <c r="E82" s="132"/>
      <c r="F82" s="132"/>
      <c r="G82" s="130"/>
    </row>
    <row r="83" spans="1:10" x14ac:dyDescent="0.25">
      <c r="A83" s="69"/>
      <c r="B83" s="130"/>
      <c r="C83" s="131"/>
      <c r="D83" s="132"/>
      <c r="E83" s="132"/>
      <c r="F83" s="132"/>
      <c r="G83" s="130"/>
    </row>
    <row r="84" spans="1:10" x14ac:dyDescent="0.25">
      <c r="A84" s="69"/>
      <c r="B84" s="130"/>
      <c r="C84" s="131"/>
      <c r="D84" s="132"/>
      <c r="E84" s="132"/>
      <c r="F84" s="132"/>
      <c r="G84" s="130"/>
    </row>
    <row r="85" spans="1:10" x14ac:dyDescent="0.25">
      <c r="A85" s="69"/>
      <c r="B85" s="130"/>
      <c r="C85" s="131"/>
      <c r="D85" s="132"/>
      <c r="E85" s="132"/>
      <c r="F85" s="132"/>
      <c r="G85" s="130"/>
    </row>
    <row r="86" spans="1:10" x14ac:dyDescent="0.25">
      <c r="A86" s="69"/>
      <c r="B86" s="130"/>
      <c r="C86" s="131"/>
      <c r="D86" s="132"/>
      <c r="E86" s="132"/>
      <c r="F86" s="132"/>
      <c r="G86" s="130"/>
    </row>
    <row r="87" spans="1:10" x14ac:dyDescent="0.25">
      <c r="A87" s="69"/>
      <c r="B87" s="130"/>
      <c r="C87" s="131"/>
      <c r="D87" s="132"/>
      <c r="E87" s="132"/>
      <c r="F87" s="132"/>
      <c r="G87" s="130"/>
    </row>
    <row r="88" spans="1:10" x14ac:dyDescent="0.25">
      <c r="C88"/>
      <c r="D88" s="14"/>
    </row>
    <row r="89" spans="1:10" x14ac:dyDescent="0.25">
      <c r="B89" s="14"/>
      <c r="C89"/>
    </row>
    <row r="90" spans="1:10" x14ac:dyDescent="0.25">
      <c r="C90"/>
      <c r="D90" s="14"/>
    </row>
    <row r="91" spans="1:10" x14ac:dyDescent="0.25">
      <c r="C91"/>
      <c r="D91" s="14">
        <f>SUM(D4:D90)</f>
        <v>0</v>
      </c>
    </row>
    <row r="92" spans="1:10" x14ac:dyDescent="0.25">
      <c r="C92"/>
    </row>
    <row r="93" spans="1:10" x14ac:dyDescent="0.25">
      <c r="B93" s="14">
        <f>SUM(D4:D36)</f>
        <v>0</v>
      </c>
      <c r="C93"/>
      <c r="J93" s="14">
        <f>D33-D32</f>
        <v>0</v>
      </c>
    </row>
    <row r="94" spans="1:10" x14ac:dyDescent="0.25">
      <c r="C94"/>
    </row>
    <row r="95" spans="1:10" x14ac:dyDescent="0.25">
      <c r="C95"/>
    </row>
    <row r="96" spans="1:10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1:46" x14ac:dyDescent="0.25">
      <c r="C129"/>
    </row>
    <row r="130" spans="1:46" x14ac:dyDescent="0.25">
      <c r="C130"/>
    </row>
    <row r="131" spans="1:46" x14ac:dyDescent="0.25">
      <c r="C131"/>
    </row>
    <row r="132" spans="1:46" x14ac:dyDescent="0.25">
      <c r="C132"/>
    </row>
    <row r="133" spans="1:46" x14ac:dyDescent="0.25">
      <c r="C133"/>
    </row>
    <row r="134" spans="1:46" x14ac:dyDescent="0.25">
      <c r="C134"/>
    </row>
    <row r="135" spans="1:46" x14ac:dyDescent="0.25">
      <c r="C135"/>
    </row>
    <row r="136" spans="1:46" x14ac:dyDescent="0.25">
      <c r="C136"/>
    </row>
    <row r="137" spans="1:46" x14ac:dyDescent="0.25">
      <c r="C137"/>
    </row>
    <row r="138" spans="1:46" s="23" customForma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</row>
    <row r="139" spans="1:46" s="22" customFormat="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</row>
    <row r="140" spans="1:46" x14ac:dyDescent="0.25">
      <c r="C140"/>
    </row>
    <row r="141" spans="1:46" x14ac:dyDescent="0.25">
      <c r="C141"/>
    </row>
    <row r="142" spans="1:46" x14ac:dyDescent="0.25">
      <c r="C142"/>
    </row>
    <row r="143" spans="1:46" x14ac:dyDescent="0.25">
      <c r="C143"/>
    </row>
    <row r="144" spans="1:46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1:46" x14ac:dyDescent="0.25">
      <c r="C209"/>
    </row>
    <row r="210" spans="1:46" x14ac:dyDescent="0.25">
      <c r="C210"/>
    </row>
    <row r="211" spans="1:46" x14ac:dyDescent="0.25">
      <c r="C211"/>
    </row>
    <row r="212" spans="1:46" x14ac:dyDescent="0.25">
      <c r="C212"/>
    </row>
    <row r="213" spans="1:46" x14ac:dyDescent="0.25">
      <c r="C213"/>
    </row>
    <row r="214" spans="1:46" x14ac:dyDescent="0.25">
      <c r="C214"/>
    </row>
    <row r="215" spans="1:46" x14ac:dyDescent="0.25">
      <c r="C215"/>
    </row>
    <row r="216" spans="1:46" x14ac:dyDescent="0.25">
      <c r="C216"/>
    </row>
    <row r="217" spans="1:46" x14ac:dyDescent="0.25">
      <c r="C217"/>
    </row>
    <row r="218" spans="1:46" x14ac:dyDescent="0.25">
      <c r="C218"/>
    </row>
    <row r="219" spans="1:46" x14ac:dyDescent="0.25">
      <c r="C219"/>
    </row>
    <row r="220" spans="1:46" x14ac:dyDescent="0.25">
      <c r="C220"/>
    </row>
    <row r="221" spans="1:46" x14ac:dyDescent="0.25">
      <c r="C221"/>
    </row>
    <row r="222" spans="1:46" x14ac:dyDescent="0.25">
      <c r="C222"/>
    </row>
    <row r="223" spans="1:46" x14ac:dyDescent="0.25">
      <c r="C223"/>
    </row>
    <row r="224" spans="1:46" s="22" customForma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1:46" x14ac:dyDescent="0.25">
      <c r="C433"/>
    </row>
    <row r="434" spans="1:46" x14ac:dyDescent="0.25">
      <c r="C434"/>
    </row>
    <row r="435" spans="1:46" x14ac:dyDescent="0.25">
      <c r="C435"/>
    </row>
    <row r="436" spans="1:46" s="22" customFormat="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</row>
    <row r="437" spans="1:46" x14ac:dyDescent="0.25">
      <c r="C437"/>
    </row>
    <row r="438" spans="1:46" x14ac:dyDescent="0.25">
      <c r="C438"/>
    </row>
    <row r="439" spans="1:46" x14ac:dyDescent="0.25">
      <c r="C439"/>
    </row>
    <row r="440" spans="1:46" x14ac:dyDescent="0.25">
      <c r="C440"/>
    </row>
    <row r="441" spans="1:46" x14ac:dyDescent="0.25">
      <c r="C441"/>
    </row>
    <row r="442" spans="1:46" x14ac:dyDescent="0.25">
      <c r="C442"/>
    </row>
    <row r="443" spans="1:46" x14ac:dyDescent="0.25">
      <c r="C443"/>
    </row>
    <row r="444" spans="1:46" x14ac:dyDescent="0.25">
      <c r="C444"/>
    </row>
    <row r="445" spans="1:46" x14ac:dyDescent="0.25">
      <c r="C445"/>
    </row>
    <row r="446" spans="1:46" x14ac:dyDescent="0.25">
      <c r="C446"/>
    </row>
    <row r="447" spans="1:46" x14ac:dyDescent="0.25">
      <c r="C447"/>
    </row>
    <row r="448" spans="1:46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1:46" x14ac:dyDescent="0.25">
      <c r="C689"/>
    </row>
    <row r="690" spans="1:46" x14ac:dyDescent="0.25">
      <c r="C690"/>
    </row>
    <row r="691" spans="1:46" x14ac:dyDescent="0.25">
      <c r="C691"/>
    </row>
    <row r="692" spans="1:46" x14ac:dyDescent="0.25">
      <c r="C692"/>
    </row>
    <row r="693" spans="1:46" s="22" customFormat="1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</row>
    <row r="694" spans="1:46" x14ac:dyDescent="0.25">
      <c r="C694"/>
    </row>
    <row r="695" spans="1:46" x14ac:dyDescent="0.25">
      <c r="C695"/>
    </row>
    <row r="696" spans="1:46" x14ac:dyDescent="0.25">
      <c r="C696"/>
    </row>
    <row r="697" spans="1:46" x14ac:dyDescent="0.25">
      <c r="C697"/>
    </row>
    <row r="698" spans="1:46" x14ac:dyDescent="0.25">
      <c r="C698"/>
    </row>
    <row r="699" spans="1:46" x14ac:dyDescent="0.25">
      <c r="C699"/>
    </row>
    <row r="700" spans="1:46" x14ac:dyDescent="0.25">
      <c r="C700"/>
    </row>
    <row r="701" spans="1:46" x14ac:dyDescent="0.25">
      <c r="C701"/>
    </row>
    <row r="702" spans="1:46" x14ac:dyDescent="0.25">
      <c r="C702"/>
    </row>
    <row r="703" spans="1:46" x14ac:dyDescent="0.25">
      <c r="C703"/>
    </row>
    <row r="704" spans="1:46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1:46" s="22" customFormat="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</row>
    <row r="770" spans="1:46" x14ac:dyDescent="0.25">
      <c r="C770"/>
    </row>
    <row r="771" spans="1:46" x14ac:dyDescent="0.25">
      <c r="C771"/>
    </row>
    <row r="772" spans="1:46" x14ac:dyDescent="0.25">
      <c r="C772"/>
    </row>
    <row r="773" spans="1:46" x14ac:dyDescent="0.25">
      <c r="C773"/>
    </row>
    <row r="774" spans="1:46" x14ac:dyDescent="0.25">
      <c r="C774"/>
    </row>
    <row r="775" spans="1:46" x14ac:dyDescent="0.25">
      <c r="C775"/>
    </row>
    <row r="776" spans="1:46" x14ac:dyDescent="0.25">
      <c r="C776"/>
    </row>
    <row r="777" spans="1:46" x14ac:dyDescent="0.25">
      <c r="C777"/>
    </row>
    <row r="778" spans="1:46" x14ac:dyDescent="0.25">
      <c r="C778"/>
    </row>
    <row r="779" spans="1:46" x14ac:dyDescent="0.25">
      <c r="C779"/>
    </row>
    <row r="780" spans="1:46" x14ac:dyDescent="0.25">
      <c r="C780"/>
    </row>
    <row r="781" spans="1:46" x14ac:dyDescent="0.25">
      <c r="C781"/>
    </row>
    <row r="782" spans="1:46" x14ac:dyDescent="0.25">
      <c r="C782"/>
    </row>
    <row r="783" spans="1:46" x14ac:dyDescent="0.25">
      <c r="C783"/>
    </row>
    <row r="784" spans="1:46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1:46" x14ac:dyDescent="0.25">
      <c r="C833"/>
    </row>
    <row r="834" spans="1:46" x14ac:dyDescent="0.25">
      <c r="C834"/>
    </row>
    <row r="835" spans="1:46" x14ac:dyDescent="0.25">
      <c r="C835"/>
    </row>
    <row r="836" spans="1:46" x14ac:dyDescent="0.25">
      <c r="C836"/>
    </row>
    <row r="837" spans="1:46" x14ac:dyDescent="0.25">
      <c r="C837"/>
    </row>
    <row r="838" spans="1:46" s="22" customFormat="1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</row>
    <row r="839" spans="1:46" x14ac:dyDescent="0.25">
      <c r="C839"/>
    </row>
    <row r="840" spans="1:46" x14ac:dyDescent="0.25">
      <c r="C840"/>
    </row>
    <row r="841" spans="1:46" x14ac:dyDescent="0.25">
      <c r="C841"/>
    </row>
    <row r="842" spans="1:46" x14ac:dyDescent="0.25">
      <c r="C842"/>
    </row>
    <row r="843" spans="1:46" x14ac:dyDescent="0.25">
      <c r="C843"/>
    </row>
    <row r="844" spans="1:46" x14ac:dyDescent="0.25">
      <c r="C844"/>
    </row>
    <row r="845" spans="1:46" x14ac:dyDescent="0.25">
      <c r="C845"/>
    </row>
    <row r="846" spans="1:46" x14ac:dyDescent="0.25">
      <c r="C846"/>
    </row>
    <row r="847" spans="1:46" x14ac:dyDescent="0.25">
      <c r="C847"/>
    </row>
    <row r="848" spans="1:46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1:46" x14ac:dyDescent="0.25">
      <c r="C929"/>
    </row>
    <row r="930" spans="1:46" x14ac:dyDescent="0.25">
      <c r="C930"/>
    </row>
    <row r="931" spans="1:46" x14ac:dyDescent="0.25">
      <c r="C931"/>
    </row>
    <row r="932" spans="1:46" x14ac:dyDescent="0.25">
      <c r="C932"/>
    </row>
    <row r="933" spans="1:46" s="22" customFormat="1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</row>
    <row r="934" spans="1:46" x14ac:dyDescent="0.25">
      <c r="C934"/>
    </row>
    <row r="935" spans="1:46" x14ac:dyDescent="0.25">
      <c r="C935"/>
    </row>
    <row r="936" spans="1:46" x14ac:dyDescent="0.25">
      <c r="C936"/>
    </row>
    <row r="937" spans="1:46" x14ac:dyDescent="0.25">
      <c r="C937"/>
    </row>
    <row r="938" spans="1:46" x14ac:dyDescent="0.25">
      <c r="C938"/>
    </row>
    <row r="939" spans="1:46" x14ac:dyDescent="0.25">
      <c r="C939"/>
    </row>
    <row r="940" spans="1:46" x14ac:dyDescent="0.25">
      <c r="C940"/>
    </row>
    <row r="941" spans="1:46" x14ac:dyDescent="0.25">
      <c r="C941"/>
    </row>
    <row r="942" spans="1:46" x14ac:dyDescent="0.25">
      <c r="C942"/>
    </row>
    <row r="943" spans="1:46" x14ac:dyDescent="0.25">
      <c r="C943"/>
    </row>
    <row r="944" spans="1:46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  <row r="957" spans="3:3" x14ac:dyDescent="0.25">
      <c r="C957"/>
    </row>
    <row r="958" spans="3:3" x14ac:dyDescent="0.25">
      <c r="C958"/>
    </row>
    <row r="959" spans="3:3" x14ac:dyDescent="0.25">
      <c r="C959"/>
    </row>
    <row r="960" spans="3:3" x14ac:dyDescent="0.25">
      <c r="C960"/>
    </row>
    <row r="961" spans="3:3" x14ac:dyDescent="0.25">
      <c r="C961"/>
    </row>
    <row r="962" spans="3:3" x14ac:dyDescent="0.25">
      <c r="C962"/>
    </row>
    <row r="963" spans="3:3" x14ac:dyDescent="0.25">
      <c r="C963"/>
    </row>
    <row r="964" spans="3:3" x14ac:dyDescent="0.25">
      <c r="C964"/>
    </row>
    <row r="965" spans="3:3" x14ac:dyDescent="0.25">
      <c r="C965"/>
    </row>
    <row r="966" spans="3:3" x14ac:dyDescent="0.25">
      <c r="C966"/>
    </row>
    <row r="967" spans="3:3" x14ac:dyDescent="0.25">
      <c r="C967"/>
    </row>
    <row r="968" spans="3:3" x14ac:dyDescent="0.25">
      <c r="C968"/>
    </row>
    <row r="969" spans="3:3" x14ac:dyDescent="0.25">
      <c r="C969"/>
    </row>
    <row r="970" spans="3:3" x14ac:dyDescent="0.25">
      <c r="C970"/>
    </row>
    <row r="971" spans="3:3" x14ac:dyDescent="0.25">
      <c r="C971"/>
    </row>
    <row r="972" spans="3:3" x14ac:dyDescent="0.25">
      <c r="C972"/>
    </row>
    <row r="973" spans="3:3" x14ac:dyDescent="0.25">
      <c r="C973"/>
    </row>
    <row r="974" spans="3:3" x14ac:dyDescent="0.25">
      <c r="C974"/>
    </row>
    <row r="975" spans="3:3" x14ac:dyDescent="0.25">
      <c r="C975"/>
    </row>
    <row r="976" spans="3:3" x14ac:dyDescent="0.25">
      <c r="C976"/>
    </row>
    <row r="977" spans="3:3" x14ac:dyDescent="0.25">
      <c r="C977"/>
    </row>
    <row r="978" spans="3:3" x14ac:dyDescent="0.25">
      <c r="C978"/>
    </row>
    <row r="979" spans="3:3" x14ac:dyDescent="0.25">
      <c r="C979"/>
    </row>
    <row r="980" spans="3:3" x14ac:dyDescent="0.25">
      <c r="C980"/>
    </row>
    <row r="981" spans="3:3" x14ac:dyDescent="0.25">
      <c r="C981"/>
    </row>
    <row r="982" spans="3:3" x14ac:dyDescent="0.25">
      <c r="C982"/>
    </row>
    <row r="983" spans="3:3" x14ac:dyDescent="0.25">
      <c r="C983"/>
    </row>
    <row r="984" spans="3:3" x14ac:dyDescent="0.25">
      <c r="C984"/>
    </row>
    <row r="985" spans="3:3" x14ac:dyDescent="0.25">
      <c r="C985"/>
    </row>
    <row r="986" spans="3:3" x14ac:dyDescent="0.25">
      <c r="C986"/>
    </row>
    <row r="987" spans="3:3" x14ac:dyDescent="0.25">
      <c r="C987"/>
    </row>
    <row r="988" spans="3:3" x14ac:dyDescent="0.25">
      <c r="C988"/>
    </row>
    <row r="989" spans="3:3" x14ac:dyDescent="0.25">
      <c r="C989"/>
    </row>
    <row r="990" spans="3:3" x14ac:dyDescent="0.25">
      <c r="C990"/>
    </row>
    <row r="991" spans="3:3" x14ac:dyDescent="0.25">
      <c r="C991"/>
    </row>
    <row r="992" spans="3:3" x14ac:dyDescent="0.25">
      <c r="C992"/>
    </row>
    <row r="993" spans="1:46" x14ac:dyDescent="0.25">
      <c r="C993"/>
    </row>
    <row r="994" spans="1:46" x14ac:dyDescent="0.25">
      <c r="C994"/>
    </row>
    <row r="995" spans="1:46" x14ac:dyDescent="0.25">
      <c r="C995"/>
    </row>
    <row r="996" spans="1:46" x14ac:dyDescent="0.25">
      <c r="C996"/>
    </row>
    <row r="997" spans="1:46" x14ac:dyDescent="0.25">
      <c r="C997"/>
    </row>
    <row r="998" spans="1:46" x14ac:dyDescent="0.25">
      <c r="C998"/>
    </row>
    <row r="999" spans="1:46" x14ac:dyDescent="0.25">
      <c r="C999"/>
    </row>
    <row r="1000" spans="1:46" x14ac:dyDescent="0.25">
      <c r="C1000"/>
    </row>
    <row r="1001" spans="1:46" s="22" customFormat="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</row>
    <row r="1002" spans="1:46" x14ac:dyDescent="0.25">
      <c r="C1002"/>
    </row>
    <row r="1003" spans="1:46" x14ac:dyDescent="0.25">
      <c r="C1003"/>
    </row>
    <row r="1004" spans="1:46" x14ac:dyDescent="0.25">
      <c r="C1004"/>
    </row>
    <row r="1005" spans="1:46" x14ac:dyDescent="0.25">
      <c r="C1005"/>
    </row>
    <row r="1006" spans="1:46" x14ac:dyDescent="0.25">
      <c r="C1006"/>
    </row>
    <row r="1007" spans="1:46" x14ac:dyDescent="0.25">
      <c r="C1007"/>
    </row>
    <row r="1008" spans="1:46" x14ac:dyDescent="0.25">
      <c r="C1008"/>
    </row>
    <row r="1009" spans="3:3" x14ac:dyDescent="0.25">
      <c r="C1009"/>
    </row>
    <row r="1010" spans="3:3" x14ac:dyDescent="0.25">
      <c r="C1010"/>
    </row>
    <row r="1011" spans="3:3" x14ac:dyDescent="0.25">
      <c r="C1011"/>
    </row>
    <row r="1012" spans="3:3" x14ac:dyDescent="0.25">
      <c r="C1012"/>
    </row>
    <row r="1013" spans="3:3" x14ac:dyDescent="0.25">
      <c r="C1013"/>
    </row>
    <row r="1014" spans="3:3" x14ac:dyDescent="0.25">
      <c r="C1014"/>
    </row>
    <row r="1015" spans="3:3" x14ac:dyDescent="0.25">
      <c r="C1015"/>
    </row>
    <row r="1016" spans="3:3" x14ac:dyDescent="0.25">
      <c r="C1016"/>
    </row>
    <row r="1017" spans="3:3" x14ac:dyDescent="0.25">
      <c r="C1017"/>
    </row>
    <row r="1018" spans="3:3" x14ac:dyDescent="0.25">
      <c r="C1018"/>
    </row>
    <row r="1019" spans="3:3" x14ac:dyDescent="0.25">
      <c r="C1019"/>
    </row>
    <row r="1020" spans="3:3" x14ac:dyDescent="0.25">
      <c r="C1020"/>
    </row>
    <row r="1021" spans="3:3" x14ac:dyDescent="0.25">
      <c r="C1021"/>
    </row>
    <row r="1022" spans="3:3" x14ac:dyDescent="0.25">
      <c r="C1022"/>
    </row>
    <row r="1023" spans="3:3" x14ac:dyDescent="0.25">
      <c r="C1023"/>
    </row>
    <row r="1024" spans="3:3" x14ac:dyDescent="0.25">
      <c r="C1024"/>
    </row>
    <row r="1025" spans="3:3" x14ac:dyDescent="0.25">
      <c r="C1025"/>
    </row>
    <row r="1026" spans="3:3" x14ac:dyDescent="0.25">
      <c r="C1026"/>
    </row>
    <row r="1027" spans="3:3" x14ac:dyDescent="0.25">
      <c r="C1027"/>
    </row>
    <row r="1028" spans="3:3" x14ac:dyDescent="0.25">
      <c r="C1028"/>
    </row>
    <row r="1029" spans="3:3" x14ac:dyDescent="0.25">
      <c r="C1029"/>
    </row>
    <row r="1030" spans="3:3" x14ac:dyDescent="0.25">
      <c r="C1030"/>
    </row>
    <row r="1031" spans="3:3" x14ac:dyDescent="0.25">
      <c r="C1031"/>
    </row>
    <row r="1032" spans="3:3" x14ac:dyDescent="0.25">
      <c r="C1032"/>
    </row>
    <row r="1033" spans="3:3" x14ac:dyDescent="0.25">
      <c r="C1033"/>
    </row>
    <row r="1034" spans="3:3" x14ac:dyDescent="0.25">
      <c r="C1034"/>
    </row>
    <row r="1035" spans="3:3" x14ac:dyDescent="0.25">
      <c r="C1035"/>
    </row>
    <row r="1036" spans="3:3" x14ac:dyDescent="0.25">
      <c r="C1036"/>
    </row>
    <row r="1037" spans="3:3" x14ac:dyDescent="0.25">
      <c r="C1037"/>
    </row>
    <row r="1038" spans="3:3" x14ac:dyDescent="0.25">
      <c r="C1038"/>
    </row>
    <row r="1039" spans="3:3" x14ac:dyDescent="0.25">
      <c r="C1039"/>
    </row>
    <row r="1040" spans="3:3" x14ac:dyDescent="0.25">
      <c r="C1040"/>
    </row>
    <row r="1041" spans="3:3" x14ac:dyDescent="0.25">
      <c r="C1041"/>
    </row>
    <row r="1042" spans="3:3" x14ac:dyDescent="0.25">
      <c r="C1042"/>
    </row>
    <row r="1043" spans="3:3" x14ac:dyDescent="0.25">
      <c r="C1043"/>
    </row>
    <row r="1044" spans="3:3" x14ac:dyDescent="0.25">
      <c r="C1044"/>
    </row>
    <row r="1045" spans="3:3" x14ac:dyDescent="0.25">
      <c r="C1045"/>
    </row>
    <row r="1046" spans="3:3" x14ac:dyDescent="0.25">
      <c r="C1046"/>
    </row>
    <row r="1047" spans="3:3" x14ac:dyDescent="0.25">
      <c r="C1047"/>
    </row>
    <row r="1048" spans="3:3" x14ac:dyDescent="0.25">
      <c r="C1048"/>
    </row>
    <row r="1049" spans="3:3" x14ac:dyDescent="0.25">
      <c r="C1049"/>
    </row>
    <row r="1050" spans="3:3" x14ac:dyDescent="0.25">
      <c r="C1050"/>
    </row>
    <row r="1051" spans="3:3" x14ac:dyDescent="0.25">
      <c r="C1051"/>
    </row>
    <row r="1052" spans="3:3" x14ac:dyDescent="0.25">
      <c r="C1052"/>
    </row>
    <row r="1053" spans="3:3" x14ac:dyDescent="0.25">
      <c r="C1053"/>
    </row>
    <row r="1054" spans="3:3" x14ac:dyDescent="0.25">
      <c r="C1054"/>
    </row>
    <row r="1055" spans="3:3" x14ac:dyDescent="0.25">
      <c r="C1055"/>
    </row>
    <row r="1056" spans="3:3" x14ac:dyDescent="0.25">
      <c r="C1056"/>
    </row>
    <row r="1057" spans="3:3" x14ac:dyDescent="0.25">
      <c r="C1057"/>
    </row>
    <row r="1058" spans="3:3" x14ac:dyDescent="0.25">
      <c r="C1058"/>
    </row>
    <row r="1059" spans="3:3" x14ac:dyDescent="0.25">
      <c r="C1059"/>
    </row>
    <row r="1060" spans="3:3" x14ac:dyDescent="0.25">
      <c r="C1060"/>
    </row>
    <row r="1061" spans="3:3" x14ac:dyDescent="0.25">
      <c r="C1061"/>
    </row>
    <row r="1062" spans="3:3" x14ac:dyDescent="0.25">
      <c r="C1062"/>
    </row>
    <row r="1063" spans="3:3" x14ac:dyDescent="0.25">
      <c r="C1063"/>
    </row>
    <row r="1064" spans="3:3" x14ac:dyDescent="0.25">
      <c r="C1064"/>
    </row>
    <row r="1065" spans="3:3" x14ac:dyDescent="0.25">
      <c r="C1065"/>
    </row>
    <row r="1066" spans="3:3" x14ac:dyDescent="0.25">
      <c r="C1066"/>
    </row>
    <row r="1067" spans="3:3" x14ac:dyDescent="0.25">
      <c r="C1067"/>
    </row>
    <row r="1068" spans="3:3" x14ac:dyDescent="0.25">
      <c r="C1068"/>
    </row>
    <row r="1069" spans="3:3" x14ac:dyDescent="0.25">
      <c r="C1069"/>
    </row>
    <row r="1070" spans="3:3" x14ac:dyDescent="0.25">
      <c r="C1070"/>
    </row>
    <row r="1071" spans="3:3" x14ac:dyDescent="0.25">
      <c r="C1071"/>
    </row>
    <row r="1072" spans="3:3" x14ac:dyDescent="0.25">
      <c r="C1072"/>
    </row>
    <row r="1073" spans="3:3" x14ac:dyDescent="0.25">
      <c r="C1073"/>
    </row>
    <row r="1074" spans="3:3" x14ac:dyDescent="0.25">
      <c r="C1074"/>
    </row>
    <row r="1075" spans="3:3" x14ac:dyDescent="0.25">
      <c r="C1075"/>
    </row>
    <row r="1076" spans="3:3" x14ac:dyDescent="0.25">
      <c r="C1076"/>
    </row>
    <row r="1077" spans="3:3" x14ac:dyDescent="0.25">
      <c r="C1077"/>
    </row>
    <row r="1078" spans="3:3" x14ac:dyDescent="0.25">
      <c r="C1078"/>
    </row>
    <row r="1079" spans="3:3" x14ac:dyDescent="0.25">
      <c r="C1079"/>
    </row>
    <row r="1080" spans="3:3" x14ac:dyDescent="0.25">
      <c r="C1080"/>
    </row>
    <row r="1081" spans="3:3" x14ac:dyDescent="0.25">
      <c r="C1081"/>
    </row>
    <row r="1082" spans="3:3" x14ac:dyDescent="0.25">
      <c r="C1082"/>
    </row>
    <row r="1083" spans="3:3" x14ac:dyDescent="0.25">
      <c r="C1083"/>
    </row>
    <row r="1084" spans="3:3" x14ac:dyDescent="0.25">
      <c r="C1084"/>
    </row>
    <row r="1085" spans="3:3" x14ac:dyDescent="0.25">
      <c r="C1085"/>
    </row>
    <row r="1086" spans="3:3" x14ac:dyDescent="0.25">
      <c r="C1086"/>
    </row>
    <row r="1087" spans="3:3" x14ac:dyDescent="0.25">
      <c r="C1087"/>
    </row>
    <row r="1088" spans="3:3" x14ac:dyDescent="0.25">
      <c r="C1088"/>
    </row>
    <row r="1089" spans="3:3" x14ac:dyDescent="0.25">
      <c r="C1089"/>
    </row>
    <row r="1090" spans="3:3" x14ac:dyDescent="0.25">
      <c r="C1090"/>
    </row>
    <row r="1091" spans="3:3" x14ac:dyDescent="0.25">
      <c r="C1091"/>
    </row>
    <row r="1092" spans="3:3" x14ac:dyDescent="0.25">
      <c r="C1092"/>
    </row>
    <row r="1093" spans="3:3" x14ac:dyDescent="0.25">
      <c r="C1093"/>
    </row>
    <row r="1094" spans="3:3" x14ac:dyDescent="0.25">
      <c r="C1094"/>
    </row>
    <row r="1095" spans="3:3" x14ac:dyDescent="0.25">
      <c r="C1095"/>
    </row>
    <row r="1096" spans="3:3" x14ac:dyDescent="0.25">
      <c r="C1096"/>
    </row>
    <row r="1097" spans="3:3" x14ac:dyDescent="0.25">
      <c r="C1097"/>
    </row>
    <row r="1098" spans="3:3" x14ac:dyDescent="0.25">
      <c r="C1098"/>
    </row>
    <row r="1099" spans="3:3" x14ac:dyDescent="0.25">
      <c r="C1099"/>
    </row>
    <row r="1100" spans="3:3" x14ac:dyDescent="0.25">
      <c r="C1100"/>
    </row>
    <row r="1101" spans="3:3" x14ac:dyDescent="0.25">
      <c r="C1101"/>
    </row>
    <row r="1102" spans="3:3" x14ac:dyDescent="0.25">
      <c r="C1102"/>
    </row>
    <row r="1103" spans="3:3" x14ac:dyDescent="0.25">
      <c r="C1103"/>
    </row>
    <row r="1104" spans="3:3" x14ac:dyDescent="0.25">
      <c r="C1104"/>
    </row>
    <row r="1105" spans="3:3" x14ac:dyDescent="0.25">
      <c r="C1105"/>
    </row>
    <row r="1106" spans="3:3" x14ac:dyDescent="0.25">
      <c r="C1106"/>
    </row>
    <row r="1107" spans="3:3" x14ac:dyDescent="0.25">
      <c r="C1107"/>
    </row>
    <row r="1108" spans="3:3" x14ac:dyDescent="0.25">
      <c r="C1108"/>
    </row>
    <row r="1109" spans="3:3" x14ac:dyDescent="0.25">
      <c r="C1109"/>
    </row>
    <row r="1110" spans="3:3" x14ac:dyDescent="0.25">
      <c r="C1110"/>
    </row>
    <row r="1111" spans="3:3" x14ac:dyDescent="0.25">
      <c r="C1111"/>
    </row>
    <row r="1112" spans="3:3" x14ac:dyDescent="0.25">
      <c r="C1112"/>
    </row>
    <row r="1113" spans="3:3" x14ac:dyDescent="0.25">
      <c r="C1113"/>
    </row>
    <row r="1114" spans="3:3" x14ac:dyDescent="0.25">
      <c r="C1114"/>
    </row>
    <row r="1115" spans="3:3" x14ac:dyDescent="0.25">
      <c r="C1115"/>
    </row>
    <row r="1116" spans="3:3" x14ac:dyDescent="0.25">
      <c r="C1116"/>
    </row>
    <row r="1117" spans="3:3" x14ac:dyDescent="0.25">
      <c r="C1117"/>
    </row>
    <row r="1118" spans="3:3" x14ac:dyDescent="0.25">
      <c r="C1118"/>
    </row>
    <row r="1119" spans="3:3" x14ac:dyDescent="0.25">
      <c r="C1119"/>
    </row>
    <row r="1120" spans="3:3" x14ac:dyDescent="0.25">
      <c r="C1120"/>
    </row>
    <row r="1121" spans="3:3" x14ac:dyDescent="0.25">
      <c r="C1121"/>
    </row>
    <row r="1122" spans="3:3" x14ac:dyDescent="0.25">
      <c r="C1122"/>
    </row>
    <row r="1123" spans="3:3" x14ac:dyDescent="0.25">
      <c r="C1123"/>
    </row>
    <row r="1124" spans="3:3" x14ac:dyDescent="0.25">
      <c r="C1124"/>
    </row>
    <row r="1125" spans="3:3" x14ac:dyDescent="0.25">
      <c r="C1125"/>
    </row>
    <row r="1126" spans="3:3" x14ac:dyDescent="0.25">
      <c r="C1126"/>
    </row>
    <row r="1127" spans="3:3" x14ac:dyDescent="0.25">
      <c r="C1127"/>
    </row>
    <row r="1128" spans="3:3" x14ac:dyDescent="0.25">
      <c r="C1128"/>
    </row>
    <row r="1129" spans="3:3" x14ac:dyDescent="0.25">
      <c r="C1129"/>
    </row>
    <row r="1130" spans="3:3" x14ac:dyDescent="0.25">
      <c r="C1130"/>
    </row>
    <row r="1131" spans="3:3" x14ac:dyDescent="0.25">
      <c r="C1131"/>
    </row>
    <row r="1132" spans="3:3" x14ac:dyDescent="0.25">
      <c r="C1132"/>
    </row>
    <row r="1133" spans="3:3" x14ac:dyDescent="0.25">
      <c r="C1133"/>
    </row>
    <row r="1134" spans="3:3" x14ac:dyDescent="0.25">
      <c r="C1134"/>
    </row>
    <row r="1135" spans="3:3" x14ac:dyDescent="0.25">
      <c r="C1135"/>
    </row>
    <row r="1136" spans="3:3" x14ac:dyDescent="0.25">
      <c r="C1136"/>
    </row>
    <row r="1137" spans="3:3" x14ac:dyDescent="0.25">
      <c r="C1137"/>
    </row>
    <row r="1138" spans="3:3" x14ac:dyDescent="0.25">
      <c r="C1138"/>
    </row>
    <row r="1139" spans="3:3" x14ac:dyDescent="0.25">
      <c r="C1139"/>
    </row>
    <row r="1140" spans="3:3" x14ac:dyDescent="0.25">
      <c r="C1140"/>
    </row>
    <row r="1141" spans="3:3" x14ac:dyDescent="0.25">
      <c r="C1141"/>
    </row>
    <row r="1142" spans="3:3" x14ac:dyDescent="0.25">
      <c r="C1142"/>
    </row>
    <row r="1143" spans="3:3" x14ac:dyDescent="0.25">
      <c r="C1143"/>
    </row>
    <row r="1144" spans="3:3" x14ac:dyDescent="0.25">
      <c r="C1144"/>
    </row>
    <row r="1145" spans="3:3" x14ac:dyDescent="0.25">
      <c r="C1145"/>
    </row>
    <row r="1146" spans="3:3" x14ac:dyDescent="0.25">
      <c r="C1146"/>
    </row>
    <row r="1147" spans="3:3" x14ac:dyDescent="0.25">
      <c r="C1147"/>
    </row>
    <row r="1148" spans="3:3" x14ac:dyDescent="0.25">
      <c r="C1148"/>
    </row>
    <row r="1149" spans="3:3" x14ac:dyDescent="0.25">
      <c r="C1149"/>
    </row>
    <row r="1150" spans="3:3" x14ac:dyDescent="0.25">
      <c r="C1150"/>
    </row>
    <row r="1151" spans="3:3" x14ac:dyDescent="0.25">
      <c r="C1151"/>
    </row>
    <row r="1152" spans="3:3" x14ac:dyDescent="0.25">
      <c r="C1152"/>
    </row>
    <row r="1153" spans="3:3" x14ac:dyDescent="0.25">
      <c r="C1153"/>
    </row>
    <row r="1154" spans="3:3" x14ac:dyDescent="0.25">
      <c r="C1154"/>
    </row>
    <row r="1155" spans="3:3" x14ac:dyDescent="0.25">
      <c r="C1155"/>
    </row>
    <row r="1156" spans="3:3" x14ac:dyDescent="0.25">
      <c r="C1156"/>
    </row>
    <row r="1157" spans="3:3" x14ac:dyDescent="0.25">
      <c r="C1157"/>
    </row>
    <row r="1158" spans="3:3" x14ac:dyDescent="0.25">
      <c r="C1158"/>
    </row>
    <row r="1159" spans="3:3" x14ac:dyDescent="0.25">
      <c r="C1159"/>
    </row>
    <row r="1160" spans="3:3" x14ac:dyDescent="0.25">
      <c r="C1160"/>
    </row>
    <row r="1161" spans="3:3" x14ac:dyDescent="0.25">
      <c r="C1161"/>
    </row>
    <row r="1162" spans="3:3" x14ac:dyDescent="0.25">
      <c r="C1162"/>
    </row>
    <row r="1163" spans="3:3" x14ac:dyDescent="0.25">
      <c r="C1163"/>
    </row>
    <row r="1164" spans="3:3" x14ac:dyDescent="0.25">
      <c r="C1164"/>
    </row>
    <row r="1165" spans="3:3" x14ac:dyDescent="0.25">
      <c r="C1165"/>
    </row>
    <row r="1166" spans="3:3" x14ac:dyDescent="0.25">
      <c r="C1166"/>
    </row>
    <row r="1167" spans="3:3" x14ac:dyDescent="0.25">
      <c r="C1167"/>
    </row>
    <row r="1168" spans="3:3" x14ac:dyDescent="0.25">
      <c r="C1168"/>
    </row>
    <row r="1169" spans="3:3" x14ac:dyDescent="0.25">
      <c r="C1169"/>
    </row>
    <row r="1170" spans="3:3" x14ac:dyDescent="0.25">
      <c r="C1170"/>
    </row>
    <row r="1171" spans="3:3" x14ac:dyDescent="0.25">
      <c r="C1171"/>
    </row>
    <row r="1172" spans="3:3" x14ac:dyDescent="0.25">
      <c r="C1172"/>
    </row>
    <row r="1173" spans="3:3" x14ac:dyDescent="0.25">
      <c r="C1173"/>
    </row>
    <row r="1174" spans="3:3" x14ac:dyDescent="0.25">
      <c r="C1174"/>
    </row>
    <row r="1175" spans="3:3" x14ac:dyDescent="0.25">
      <c r="C1175"/>
    </row>
    <row r="1176" spans="3:3" x14ac:dyDescent="0.25">
      <c r="C1176"/>
    </row>
    <row r="1177" spans="3:3" x14ac:dyDescent="0.25">
      <c r="C1177"/>
    </row>
    <row r="1178" spans="3:3" x14ac:dyDescent="0.25">
      <c r="C1178"/>
    </row>
    <row r="1179" spans="3:3" x14ac:dyDescent="0.25">
      <c r="C1179"/>
    </row>
    <row r="1180" spans="3:3" x14ac:dyDescent="0.25">
      <c r="C1180"/>
    </row>
    <row r="1181" spans="3:3" x14ac:dyDescent="0.25">
      <c r="C1181"/>
    </row>
    <row r="1182" spans="3:3" x14ac:dyDescent="0.25">
      <c r="C1182"/>
    </row>
    <row r="1183" spans="3:3" x14ac:dyDescent="0.25">
      <c r="C1183"/>
    </row>
    <row r="1184" spans="3:3" x14ac:dyDescent="0.25">
      <c r="C1184"/>
    </row>
    <row r="1185" spans="3:3" x14ac:dyDescent="0.25">
      <c r="C1185"/>
    </row>
    <row r="1186" spans="3:3" x14ac:dyDescent="0.25">
      <c r="C1186"/>
    </row>
    <row r="1187" spans="3:3" x14ac:dyDescent="0.25">
      <c r="C1187"/>
    </row>
    <row r="1188" spans="3:3" x14ac:dyDescent="0.25">
      <c r="C1188"/>
    </row>
    <row r="1189" spans="3:3" x14ac:dyDescent="0.25">
      <c r="C1189"/>
    </row>
    <row r="1190" spans="3:3" x14ac:dyDescent="0.25">
      <c r="C1190"/>
    </row>
    <row r="1191" spans="3:3" x14ac:dyDescent="0.25">
      <c r="C1191"/>
    </row>
    <row r="1192" spans="3:3" x14ac:dyDescent="0.25">
      <c r="C1192"/>
    </row>
    <row r="1193" spans="3:3" x14ac:dyDescent="0.25">
      <c r="C1193"/>
    </row>
    <row r="1194" spans="3:3" x14ac:dyDescent="0.25">
      <c r="C1194"/>
    </row>
    <row r="1195" spans="3:3" x14ac:dyDescent="0.25">
      <c r="C1195"/>
    </row>
    <row r="1196" spans="3:3" x14ac:dyDescent="0.25">
      <c r="C1196"/>
    </row>
    <row r="1197" spans="3:3" x14ac:dyDescent="0.25">
      <c r="C1197"/>
    </row>
    <row r="1198" spans="3:3" x14ac:dyDescent="0.25">
      <c r="C1198"/>
    </row>
    <row r="1199" spans="3:3" x14ac:dyDescent="0.25">
      <c r="C1199"/>
    </row>
    <row r="1200" spans="3:3" x14ac:dyDescent="0.25">
      <c r="C1200"/>
    </row>
    <row r="1201" spans="3:3" x14ac:dyDescent="0.25">
      <c r="C1201"/>
    </row>
    <row r="1202" spans="3:3" x14ac:dyDescent="0.25">
      <c r="C1202"/>
    </row>
    <row r="1203" spans="3:3" x14ac:dyDescent="0.25">
      <c r="C1203"/>
    </row>
    <row r="1204" spans="3:3" x14ac:dyDescent="0.25">
      <c r="C1204"/>
    </row>
    <row r="1205" spans="3:3" x14ac:dyDescent="0.25">
      <c r="C1205"/>
    </row>
    <row r="1206" spans="3:3" x14ac:dyDescent="0.25">
      <c r="C1206"/>
    </row>
    <row r="1207" spans="3:3" x14ac:dyDescent="0.25">
      <c r="C1207"/>
    </row>
    <row r="1208" spans="3:3" x14ac:dyDescent="0.25">
      <c r="C1208"/>
    </row>
    <row r="1209" spans="3:3" x14ac:dyDescent="0.25">
      <c r="C1209"/>
    </row>
    <row r="1210" spans="3:3" x14ac:dyDescent="0.25">
      <c r="C1210"/>
    </row>
    <row r="1211" spans="3:3" x14ac:dyDescent="0.25">
      <c r="C1211"/>
    </row>
    <row r="1212" spans="3:3" x14ac:dyDescent="0.25">
      <c r="C1212"/>
    </row>
    <row r="1213" spans="3:3" x14ac:dyDescent="0.25">
      <c r="C1213"/>
    </row>
    <row r="1214" spans="3:3" x14ac:dyDescent="0.25">
      <c r="C1214"/>
    </row>
    <row r="1215" spans="3:3" x14ac:dyDescent="0.25">
      <c r="C1215"/>
    </row>
    <row r="1216" spans="3:3" x14ac:dyDescent="0.25">
      <c r="C1216"/>
    </row>
    <row r="1217" spans="3:3" x14ac:dyDescent="0.25">
      <c r="C1217"/>
    </row>
    <row r="1218" spans="3:3" x14ac:dyDescent="0.25">
      <c r="C1218"/>
    </row>
    <row r="1219" spans="3:3" x14ac:dyDescent="0.25">
      <c r="C1219"/>
    </row>
    <row r="1220" spans="3:3" x14ac:dyDescent="0.25">
      <c r="C1220"/>
    </row>
    <row r="1221" spans="3:3" x14ac:dyDescent="0.25">
      <c r="C1221"/>
    </row>
    <row r="1222" spans="3:3" x14ac:dyDescent="0.25">
      <c r="C1222"/>
    </row>
    <row r="1223" spans="3:3" x14ac:dyDescent="0.25">
      <c r="C1223"/>
    </row>
    <row r="1224" spans="3:3" x14ac:dyDescent="0.25">
      <c r="C1224"/>
    </row>
    <row r="1225" spans="3:3" x14ac:dyDescent="0.25">
      <c r="C1225"/>
    </row>
    <row r="1226" spans="3:3" x14ac:dyDescent="0.25">
      <c r="C1226"/>
    </row>
    <row r="1227" spans="3:3" x14ac:dyDescent="0.25">
      <c r="C1227"/>
    </row>
    <row r="1228" spans="3:3" x14ac:dyDescent="0.25">
      <c r="C1228"/>
    </row>
    <row r="1229" spans="3:3" x14ac:dyDescent="0.25">
      <c r="C1229"/>
    </row>
    <row r="1230" spans="3:3" x14ac:dyDescent="0.25">
      <c r="C1230"/>
    </row>
    <row r="1231" spans="3:3" x14ac:dyDescent="0.25">
      <c r="C1231"/>
    </row>
    <row r="1232" spans="3:3" x14ac:dyDescent="0.25">
      <c r="C1232"/>
    </row>
    <row r="1233" spans="3:3" x14ac:dyDescent="0.25">
      <c r="C1233"/>
    </row>
    <row r="1234" spans="3:3" x14ac:dyDescent="0.25">
      <c r="C1234"/>
    </row>
    <row r="1235" spans="3:3" x14ac:dyDescent="0.25">
      <c r="C1235"/>
    </row>
    <row r="1236" spans="3:3" x14ac:dyDescent="0.25">
      <c r="C1236"/>
    </row>
    <row r="1237" spans="3:3" x14ac:dyDescent="0.25">
      <c r="C1237"/>
    </row>
    <row r="1238" spans="3:3" x14ac:dyDescent="0.25">
      <c r="C1238"/>
    </row>
    <row r="1239" spans="3:3" x14ac:dyDescent="0.25">
      <c r="C1239"/>
    </row>
    <row r="1240" spans="3:3" x14ac:dyDescent="0.25">
      <c r="C1240"/>
    </row>
    <row r="1241" spans="3:3" x14ac:dyDescent="0.25">
      <c r="C1241"/>
    </row>
    <row r="1242" spans="3:3" x14ac:dyDescent="0.25">
      <c r="C1242"/>
    </row>
    <row r="1243" spans="3:3" x14ac:dyDescent="0.25">
      <c r="C1243"/>
    </row>
    <row r="1244" spans="3:3" x14ac:dyDescent="0.25">
      <c r="C1244"/>
    </row>
    <row r="1245" spans="3:3" x14ac:dyDescent="0.25">
      <c r="C1245"/>
    </row>
    <row r="1246" spans="3:3" x14ac:dyDescent="0.25">
      <c r="C1246"/>
    </row>
    <row r="1247" spans="3:3" x14ac:dyDescent="0.25">
      <c r="C1247"/>
    </row>
    <row r="1248" spans="3:3" x14ac:dyDescent="0.25">
      <c r="C1248"/>
    </row>
    <row r="1249" spans="3:3" x14ac:dyDescent="0.25">
      <c r="C1249"/>
    </row>
    <row r="1250" spans="3:3" x14ac:dyDescent="0.25">
      <c r="C1250"/>
    </row>
    <row r="1251" spans="3:3" x14ac:dyDescent="0.25">
      <c r="C1251"/>
    </row>
    <row r="1252" spans="3:3" x14ac:dyDescent="0.25">
      <c r="C1252"/>
    </row>
    <row r="1253" spans="3:3" x14ac:dyDescent="0.25">
      <c r="C1253"/>
    </row>
    <row r="1254" spans="3:3" x14ac:dyDescent="0.25">
      <c r="C1254"/>
    </row>
    <row r="1255" spans="3:3" x14ac:dyDescent="0.25">
      <c r="C1255"/>
    </row>
    <row r="1256" spans="3:3" x14ac:dyDescent="0.25">
      <c r="C1256"/>
    </row>
    <row r="1257" spans="3:3" x14ac:dyDescent="0.25">
      <c r="C1257"/>
    </row>
    <row r="1258" spans="3:3" x14ac:dyDescent="0.25">
      <c r="C1258"/>
    </row>
    <row r="1259" spans="3:3" x14ac:dyDescent="0.25">
      <c r="C1259"/>
    </row>
    <row r="1260" spans="3:3" x14ac:dyDescent="0.25">
      <c r="C1260"/>
    </row>
    <row r="1261" spans="3:3" x14ac:dyDescent="0.25">
      <c r="C1261"/>
    </row>
    <row r="1262" spans="3:3" x14ac:dyDescent="0.25">
      <c r="C1262"/>
    </row>
    <row r="1263" spans="3:3" x14ac:dyDescent="0.25">
      <c r="C1263"/>
    </row>
    <row r="1264" spans="3:3" x14ac:dyDescent="0.25">
      <c r="C1264"/>
    </row>
    <row r="1265" spans="1:46" x14ac:dyDescent="0.25">
      <c r="C1265"/>
    </row>
    <row r="1266" spans="1:46" x14ac:dyDescent="0.25">
      <c r="C1266"/>
    </row>
    <row r="1267" spans="1:46" x14ac:dyDescent="0.25">
      <c r="C1267"/>
    </row>
    <row r="1268" spans="1:46" x14ac:dyDescent="0.25">
      <c r="C1268"/>
    </row>
    <row r="1269" spans="1:46" x14ac:dyDescent="0.25">
      <c r="C1269"/>
    </row>
    <row r="1270" spans="1:46" x14ac:dyDescent="0.25">
      <c r="C1270"/>
    </row>
    <row r="1271" spans="1:46" x14ac:dyDescent="0.25">
      <c r="C1271"/>
    </row>
    <row r="1272" spans="1:46" x14ac:dyDescent="0.25">
      <c r="C1272"/>
    </row>
    <row r="1273" spans="1:46" x14ac:dyDescent="0.25">
      <c r="C1273"/>
    </row>
    <row r="1274" spans="1:46" x14ac:dyDescent="0.25">
      <c r="C1274"/>
    </row>
    <row r="1275" spans="1:46" x14ac:dyDescent="0.25">
      <c r="C1275"/>
    </row>
    <row r="1276" spans="1:46" x14ac:dyDescent="0.25">
      <c r="C1276"/>
    </row>
    <row r="1277" spans="1:46" s="22" customFormat="1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</row>
    <row r="1278" spans="1:46" x14ac:dyDescent="0.25">
      <c r="C1278"/>
    </row>
    <row r="1279" spans="1:46" x14ac:dyDescent="0.25">
      <c r="C1279"/>
    </row>
    <row r="1280" spans="1:46" x14ac:dyDescent="0.25">
      <c r="C1280"/>
    </row>
    <row r="1281" spans="3:3" x14ac:dyDescent="0.25">
      <c r="C1281"/>
    </row>
    <row r="1282" spans="3:3" x14ac:dyDescent="0.25">
      <c r="C1282"/>
    </row>
    <row r="1283" spans="3:3" x14ac:dyDescent="0.25">
      <c r="C1283"/>
    </row>
    <row r="1284" spans="3:3" x14ac:dyDescent="0.25">
      <c r="C1284"/>
    </row>
    <row r="1285" spans="3:3" x14ac:dyDescent="0.25">
      <c r="C1285"/>
    </row>
    <row r="1286" spans="3:3" x14ac:dyDescent="0.25">
      <c r="C1286"/>
    </row>
    <row r="1287" spans="3:3" x14ac:dyDescent="0.25">
      <c r="C1287"/>
    </row>
    <row r="1288" spans="3:3" x14ac:dyDescent="0.25">
      <c r="C1288"/>
    </row>
    <row r="1289" spans="3:3" x14ac:dyDescent="0.25">
      <c r="C1289"/>
    </row>
    <row r="1290" spans="3:3" x14ac:dyDescent="0.25">
      <c r="C1290"/>
    </row>
    <row r="1291" spans="3:3" x14ac:dyDescent="0.25">
      <c r="C1291"/>
    </row>
    <row r="1292" spans="3:3" x14ac:dyDescent="0.25">
      <c r="C1292"/>
    </row>
    <row r="1293" spans="3:3" x14ac:dyDescent="0.25">
      <c r="C1293"/>
    </row>
    <row r="1294" spans="3:3" x14ac:dyDescent="0.25">
      <c r="C1294"/>
    </row>
    <row r="1295" spans="3:3" x14ac:dyDescent="0.25">
      <c r="C1295"/>
    </row>
    <row r="1296" spans="3:3" x14ac:dyDescent="0.25">
      <c r="C1296"/>
    </row>
    <row r="1297" spans="3:3" x14ac:dyDescent="0.25">
      <c r="C1297"/>
    </row>
    <row r="1298" spans="3:3" x14ac:dyDescent="0.25">
      <c r="C1298"/>
    </row>
    <row r="1299" spans="3:3" x14ac:dyDescent="0.25">
      <c r="C1299"/>
    </row>
    <row r="1300" spans="3:3" x14ac:dyDescent="0.25">
      <c r="C1300"/>
    </row>
    <row r="1301" spans="3:3" x14ac:dyDescent="0.25">
      <c r="C1301"/>
    </row>
    <row r="1302" spans="3:3" x14ac:dyDescent="0.25">
      <c r="C1302"/>
    </row>
    <row r="1303" spans="3:3" x14ac:dyDescent="0.25">
      <c r="C1303"/>
    </row>
    <row r="1304" spans="3:3" x14ac:dyDescent="0.25">
      <c r="C1304"/>
    </row>
    <row r="1305" spans="3:3" x14ac:dyDescent="0.25">
      <c r="C1305"/>
    </row>
    <row r="1306" spans="3:3" x14ac:dyDescent="0.25">
      <c r="C1306"/>
    </row>
    <row r="1307" spans="3:3" x14ac:dyDescent="0.25">
      <c r="C1307"/>
    </row>
    <row r="1308" spans="3:3" x14ac:dyDescent="0.25">
      <c r="C1308"/>
    </row>
    <row r="1309" spans="3:3" x14ac:dyDescent="0.25">
      <c r="C1309"/>
    </row>
    <row r="1310" spans="3:3" x14ac:dyDescent="0.25">
      <c r="C1310"/>
    </row>
    <row r="1311" spans="3:3" x14ac:dyDescent="0.25">
      <c r="C1311"/>
    </row>
    <row r="1312" spans="3:3" x14ac:dyDescent="0.25">
      <c r="C1312"/>
    </row>
    <row r="1313" spans="3:3" x14ac:dyDescent="0.25">
      <c r="C1313"/>
    </row>
    <row r="1314" spans="3:3" x14ac:dyDescent="0.25">
      <c r="C1314"/>
    </row>
    <row r="1315" spans="3:3" x14ac:dyDescent="0.25">
      <c r="C1315"/>
    </row>
    <row r="1316" spans="3:3" x14ac:dyDescent="0.25">
      <c r="C1316"/>
    </row>
    <row r="1317" spans="3:3" x14ac:dyDescent="0.25">
      <c r="C1317"/>
    </row>
    <row r="1318" spans="3:3" x14ac:dyDescent="0.25">
      <c r="C1318"/>
    </row>
    <row r="1319" spans="3:3" x14ac:dyDescent="0.25">
      <c r="C1319"/>
    </row>
    <row r="1320" spans="3:3" x14ac:dyDescent="0.25">
      <c r="C1320"/>
    </row>
    <row r="1321" spans="3:3" x14ac:dyDescent="0.25">
      <c r="C1321"/>
    </row>
    <row r="1322" spans="3:3" x14ac:dyDescent="0.25">
      <c r="C1322"/>
    </row>
    <row r="1323" spans="3:3" x14ac:dyDescent="0.25">
      <c r="C1323"/>
    </row>
    <row r="1324" spans="3:3" x14ac:dyDescent="0.25">
      <c r="C1324"/>
    </row>
    <row r="1325" spans="3:3" x14ac:dyDescent="0.25">
      <c r="C1325"/>
    </row>
    <row r="1326" spans="3:3" x14ac:dyDescent="0.25">
      <c r="C1326"/>
    </row>
    <row r="1327" spans="3:3" x14ac:dyDescent="0.25">
      <c r="C1327"/>
    </row>
    <row r="1328" spans="3:3" x14ac:dyDescent="0.25">
      <c r="C1328"/>
    </row>
    <row r="1329" spans="3:3" x14ac:dyDescent="0.25">
      <c r="C1329"/>
    </row>
    <row r="1330" spans="3:3" x14ac:dyDescent="0.25">
      <c r="C1330"/>
    </row>
    <row r="1331" spans="3:3" x14ac:dyDescent="0.25">
      <c r="C1331"/>
    </row>
    <row r="1332" spans="3:3" x14ac:dyDescent="0.25">
      <c r="C1332"/>
    </row>
    <row r="1333" spans="3:3" x14ac:dyDescent="0.25">
      <c r="C1333"/>
    </row>
    <row r="1334" spans="3:3" x14ac:dyDescent="0.25">
      <c r="C1334"/>
    </row>
    <row r="1335" spans="3:3" x14ac:dyDescent="0.25">
      <c r="C1335"/>
    </row>
    <row r="1336" spans="3:3" x14ac:dyDescent="0.25">
      <c r="C1336"/>
    </row>
    <row r="1337" spans="3:3" x14ac:dyDescent="0.25">
      <c r="C1337"/>
    </row>
    <row r="1338" spans="3:3" x14ac:dyDescent="0.25">
      <c r="C1338"/>
    </row>
    <row r="1339" spans="3:3" x14ac:dyDescent="0.25">
      <c r="C1339"/>
    </row>
    <row r="1340" spans="3:3" x14ac:dyDescent="0.25">
      <c r="C1340"/>
    </row>
    <row r="1341" spans="3:3" x14ac:dyDescent="0.25">
      <c r="C1341"/>
    </row>
    <row r="1342" spans="3:3" x14ac:dyDescent="0.25">
      <c r="C1342"/>
    </row>
    <row r="1343" spans="3:3" x14ac:dyDescent="0.25">
      <c r="C1343"/>
    </row>
    <row r="1344" spans="3:3" x14ac:dyDescent="0.25">
      <c r="C1344"/>
    </row>
    <row r="1345" spans="1:46" x14ac:dyDescent="0.25">
      <c r="C1345"/>
    </row>
    <row r="1346" spans="1:46" x14ac:dyDescent="0.25">
      <c r="C1346"/>
    </row>
    <row r="1347" spans="1:46" x14ac:dyDescent="0.25">
      <c r="C1347"/>
    </row>
    <row r="1348" spans="1:46" x14ac:dyDescent="0.25">
      <c r="C1348"/>
    </row>
    <row r="1349" spans="1:46" x14ac:dyDescent="0.25">
      <c r="C1349"/>
    </row>
    <row r="1350" spans="1:46" x14ac:dyDescent="0.25">
      <c r="C1350"/>
    </row>
    <row r="1351" spans="1:46" x14ac:dyDescent="0.25">
      <c r="C1351"/>
    </row>
    <row r="1352" spans="1:46" x14ac:dyDescent="0.25">
      <c r="C1352"/>
    </row>
    <row r="1353" spans="1:46" x14ac:dyDescent="0.25">
      <c r="C1353"/>
    </row>
    <row r="1354" spans="1:46" x14ac:dyDescent="0.25">
      <c r="C1354"/>
    </row>
    <row r="1355" spans="1:46" s="22" customFormat="1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</row>
    <row r="1356" spans="1:46" x14ac:dyDescent="0.25">
      <c r="C1356"/>
    </row>
    <row r="1357" spans="1:46" x14ac:dyDescent="0.25">
      <c r="C1357"/>
    </row>
    <row r="1358" spans="1:46" x14ac:dyDescent="0.25">
      <c r="C1358"/>
    </row>
    <row r="1359" spans="1:46" x14ac:dyDescent="0.25">
      <c r="C1359"/>
    </row>
    <row r="1360" spans="1:46" x14ac:dyDescent="0.25">
      <c r="C1360"/>
    </row>
    <row r="1361" spans="3:3" x14ac:dyDescent="0.25">
      <c r="C1361"/>
    </row>
    <row r="1362" spans="3:3" x14ac:dyDescent="0.25">
      <c r="C1362"/>
    </row>
    <row r="1363" spans="3:3" x14ac:dyDescent="0.25">
      <c r="C1363"/>
    </row>
    <row r="1364" spans="3:3" x14ac:dyDescent="0.25">
      <c r="C1364"/>
    </row>
    <row r="1365" spans="3:3" x14ac:dyDescent="0.25">
      <c r="C1365"/>
    </row>
    <row r="1366" spans="3:3" x14ac:dyDescent="0.25">
      <c r="C1366"/>
    </row>
    <row r="1367" spans="3:3" x14ac:dyDescent="0.25">
      <c r="C1367"/>
    </row>
    <row r="1368" spans="3:3" x14ac:dyDescent="0.25">
      <c r="C1368"/>
    </row>
    <row r="1369" spans="3:3" x14ac:dyDescent="0.25">
      <c r="C1369"/>
    </row>
    <row r="1370" spans="3:3" x14ac:dyDescent="0.25">
      <c r="C1370"/>
    </row>
    <row r="1371" spans="3:3" x14ac:dyDescent="0.25">
      <c r="C1371"/>
    </row>
    <row r="1372" spans="3:3" x14ac:dyDescent="0.25">
      <c r="C1372"/>
    </row>
    <row r="1373" spans="3:3" x14ac:dyDescent="0.25">
      <c r="C1373"/>
    </row>
    <row r="1374" spans="3:3" x14ac:dyDescent="0.25">
      <c r="C1374"/>
    </row>
    <row r="1375" spans="3:3" x14ac:dyDescent="0.25">
      <c r="C1375"/>
    </row>
    <row r="1376" spans="3:3" x14ac:dyDescent="0.25">
      <c r="C1376"/>
    </row>
    <row r="1377" spans="3:3" x14ac:dyDescent="0.25">
      <c r="C1377"/>
    </row>
    <row r="1378" spans="3:3" x14ac:dyDescent="0.25">
      <c r="C1378"/>
    </row>
    <row r="1379" spans="3:3" x14ac:dyDescent="0.25">
      <c r="C1379"/>
    </row>
    <row r="1380" spans="3:3" x14ac:dyDescent="0.25">
      <c r="C1380"/>
    </row>
    <row r="1381" spans="3:3" x14ac:dyDescent="0.25">
      <c r="C1381"/>
    </row>
    <row r="1382" spans="3:3" x14ac:dyDescent="0.25">
      <c r="C1382"/>
    </row>
    <row r="1383" spans="3:3" x14ac:dyDescent="0.25">
      <c r="C1383"/>
    </row>
    <row r="1384" spans="3:3" x14ac:dyDescent="0.25">
      <c r="C1384"/>
    </row>
    <row r="1385" spans="3:3" x14ac:dyDescent="0.25">
      <c r="C1385"/>
    </row>
    <row r="1386" spans="3:3" x14ac:dyDescent="0.25">
      <c r="C1386"/>
    </row>
    <row r="1387" spans="3:3" x14ac:dyDescent="0.25">
      <c r="C1387"/>
    </row>
    <row r="1388" spans="3:3" x14ac:dyDescent="0.25">
      <c r="C1388"/>
    </row>
    <row r="1389" spans="3:3" x14ac:dyDescent="0.25">
      <c r="C1389"/>
    </row>
    <row r="1390" spans="3:3" x14ac:dyDescent="0.25">
      <c r="C1390"/>
    </row>
    <row r="1391" spans="3:3" x14ac:dyDescent="0.25">
      <c r="C1391"/>
    </row>
    <row r="1392" spans="3:3" x14ac:dyDescent="0.25">
      <c r="C1392"/>
    </row>
    <row r="1393" spans="1:46" x14ac:dyDescent="0.25">
      <c r="C1393"/>
    </row>
    <row r="1394" spans="1:46" x14ac:dyDescent="0.25">
      <c r="C1394"/>
    </row>
    <row r="1395" spans="1:46" x14ac:dyDescent="0.25">
      <c r="C1395"/>
    </row>
    <row r="1396" spans="1:46" x14ac:dyDescent="0.25">
      <c r="C1396"/>
    </row>
    <row r="1397" spans="1:46" x14ac:dyDescent="0.25">
      <c r="C1397"/>
    </row>
    <row r="1398" spans="1:46" x14ac:dyDescent="0.25">
      <c r="C1398"/>
    </row>
    <row r="1399" spans="1:46" x14ac:dyDescent="0.25">
      <c r="C1399"/>
    </row>
    <row r="1400" spans="1:46" x14ac:dyDescent="0.25">
      <c r="C1400"/>
    </row>
    <row r="1401" spans="1:46" x14ac:dyDescent="0.25">
      <c r="C1401"/>
    </row>
    <row r="1402" spans="1:46" x14ac:dyDescent="0.25">
      <c r="C1402"/>
    </row>
    <row r="1403" spans="1:46" x14ac:dyDescent="0.25">
      <c r="C1403"/>
    </row>
    <row r="1404" spans="1:46" x14ac:dyDescent="0.25">
      <c r="C1404"/>
    </row>
    <row r="1405" spans="1:46" x14ac:dyDescent="0.25">
      <c r="C1405"/>
    </row>
    <row r="1406" spans="1:46" x14ac:dyDescent="0.25">
      <c r="C1406"/>
    </row>
    <row r="1407" spans="1:46" x14ac:dyDescent="0.25">
      <c r="C1407"/>
    </row>
    <row r="1408" spans="1:46" s="22" customFormat="1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</row>
    <row r="1409" spans="3:3" x14ac:dyDescent="0.25">
      <c r="C1409"/>
    </row>
    <row r="1410" spans="3:3" x14ac:dyDescent="0.25">
      <c r="C1410"/>
    </row>
    <row r="1411" spans="3:3" x14ac:dyDescent="0.25">
      <c r="C1411"/>
    </row>
    <row r="1412" spans="3:3" x14ac:dyDescent="0.25">
      <c r="C1412"/>
    </row>
    <row r="1413" spans="3:3" x14ac:dyDescent="0.25">
      <c r="C1413"/>
    </row>
    <row r="1414" spans="3:3" x14ac:dyDescent="0.25">
      <c r="C1414"/>
    </row>
    <row r="1415" spans="3:3" x14ac:dyDescent="0.25">
      <c r="C1415"/>
    </row>
    <row r="1416" spans="3:3" x14ac:dyDescent="0.25">
      <c r="C1416"/>
    </row>
    <row r="1417" spans="3:3" x14ac:dyDescent="0.25">
      <c r="C1417"/>
    </row>
    <row r="1418" spans="3:3" x14ac:dyDescent="0.25">
      <c r="C1418"/>
    </row>
    <row r="1419" spans="3:3" x14ac:dyDescent="0.25">
      <c r="C1419"/>
    </row>
    <row r="1420" spans="3:3" x14ac:dyDescent="0.25">
      <c r="C1420"/>
    </row>
    <row r="1421" spans="3:3" x14ac:dyDescent="0.25">
      <c r="C1421"/>
    </row>
    <row r="1422" spans="3:3" x14ac:dyDescent="0.25">
      <c r="C1422"/>
    </row>
    <row r="1423" spans="3:3" x14ac:dyDescent="0.25">
      <c r="C1423"/>
    </row>
    <row r="1424" spans="3:3" x14ac:dyDescent="0.25">
      <c r="C1424"/>
    </row>
    <row r="1425" spans="3:3" x14ac:dyDescent="0.25">
      <c r="C1425"/>
    </row>
    <row r="1426" spans="3:3" x14ac:dyDescent="0.25">
      <c r="C1426"/>
    </row>
    <row r="1427" spans="3:3" x14ac:dyDescent="0.25">
      <c r="C1427"/>
    </row>
    <row r="1428" spans="3:3" x14ac:dyDescent="0.25">
      <c r="C1428"/>
    </row>
    <row r="1429" spans="3:3" x14ac:dyDescent="0.25">
      <c r="C1429"/>
    </row>
    <row r="1430" spans="3:3" x14ac:dyDescent="0.25">
      <c r="C1430"/>
    </row>
    <row r="1431" spans="3:3" x14ac:dyDescent="0.25">
      <c r="C1431"/>
    </row>
    <row r="1432" spans="3:3" x14ac:dyDescent="0.25">
      <c r="C1432"/>
    </row>
    <row r="1433" spans="3:3" x14ac:dyDescent="0.25">
      <c r="C1433"/>
    </row>
    <row r="1434" spans="3:3" x14ac:dyDescent="0.25">
      <c r="C1434"/>
    </row>
    <row r="1435" spans="3:3" x14ac:dyDescent="0.25">
      <c r="C1435"/>
    </row>
    <row r="1436" spans="3:3" x14ac:dyDescent="0.25">
      <c r="C1436"/>
    </row>
    <row r="1437" spans="3:3" x14ac:dyDescent="0.25">
      <c r="C1437"/>
    </row>
    <row r="1438" spans="3:3" x14ac:dyDescent="0.25">
      <c r="C1438"/>
    </row>
    <row r="1439" spans="3:3" x14ac:dyDescent="0.25">
      <c r="C1439"/>
    </row>
    <row r="1440" spans="3:3" x14ac:dyDescent="0.25">
      <c r="C1440"/>
    </row>
    <row r="1441" spans="3:3" x14ac:dyDescent="0.25">
      <c r="C1441"/>
    </row>
    <row r="1442" spans="3:3" x14ac:dyDescent="0.25">
      <c r="C1442"/>
    </row>
    <row r="1443" spans="3:3" x14ac:dyDescent="0.25">
      <c r="C1443"/>
    </row>
    <row r="1444" spans="3:3" x14ac:dyDescent="0.25">
      <c r="C1444"/>
    </row>
    <row r="1445" spans="3:3" x14ac:dyDescent="0.25">
      <c r="C1445"/>
    </row>
    <row r="1446" spans="3:3" x14ac:dyDescent="0.25">
      <c r="C1446"/>
    </row>
    <row r="1447" spans="3:3" x14ac:dyDescent="0.25">
      <c r="C1447"/>
    </row>
    <row r="1448" spans="3:3" x14ac:dyDescent="0.25">
      <c r="C1448"/>
    </row>
    <row r="1449" spans="3:3" x14ac:dyDescent="0.25">
      <c r="C1449"/>
    </row>
    <row r="1450" spans="3:3" x14ac:dyDescent="0.25">
      <c r="C1450"/>
    </row>
    <row r="1451" spans="3:3" x14ac:dyDescent="0.25">
      <c r="C1451"/>
    </row>
    <row r="1452" spans="3:3" x14ac:dyDescent="0.25">
      <c r="C1452"/>
    </row>
    <row r="1453" spans="3:3" x14ac:dyDescent="0.25">
      <c r="C1453"/>
    </row>
    <row r="1454" spans="3:3" x14ac:dyDescent="0.25">
      <c r="C1454"/>
    </row>
    <row r="1455" spans="3:3" x14ac:dyDescent="0.25">
      <c r="C1455"/>
    </row>
    <row r="1456" spans="3:3" x14ac:dyDescent="0.25">
      <c r="C1456"/>
    </row>
    <row r="1457" spans="3:3" x14ac:dyDescent="0.25">
      <c r="C1457"/>
    </row>
    <row r="1458" spans="3:3" x14ac:dyDescent="0.25">
      <c r="C1458"/>
    </row>
    <row r="1459" spans="3:3" x14ac:dyDescent="0.25">
      <c r="C1459"/>
    </row>
    <row r="1460" spans="3:3" x14ac:dyDescent="0.25">
      <c r="C1460"/>
    </row>
    <row r="1461" spans="3:3" x14ac:dyDescent="0.25">
      <c r="C1461"/>
    </row>
    <row r="1462" spans="3:3" x14ac:dyDescent="0.25">
      <c r="C1462"/>
    </row>
    <row r="1463" spans="3:3" x14ac:dyDescent="0.25">
      <c r="C1463"/>
    </row>
    <row r="1464" spans="3:3" x14ac:dyDescent="0.25">
      <c r="C1464"/>
    </row>
    <row r="1465" spans="3:3" x14ac:dyDescent="0.25">
      <c r="C1465"/>
    </row>
    <row r="1466" spans="3:3" x14ac:dyDescent="0.25">
      <c r="C1466"/>
    </row>
    <row r="1467" spans="3:3" x14ac:dyDescent="0.25">
      <c r="C1467"/>
    </row>
    <row r="1468" spans="3:3" x14ac:dyDescent="0.25">
      <c r="C1468"/>
    </row>
    <row r="1469" spans="3:3" x14ac:dyDescent="0.25">
      <c r="C1469"/>
    </row>
    <row r="1470" spans="3:3" x14ac:dyDescent="0.25">
      <c r="C1470"/>
    </row>
    <row r="1471" spans="3:3" x14ac:dyDescent="0.25">
      <c r="C1471"/>
    </row>
    <row r="1472" spans="3:3" x14ac:dyDescent="0.25">
      <c r="C1472"/>
    </row>
    <row r="1473" spans="1:46" s="22" customFormat="1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</row>
    <row r="1474" spans="1:46" x14ac:dyDescent="0.25">
      <c r="C1474"/>
    </row>
    <row r="1475" spans="1:46" x14ac:dyDescent="0.25">
      <c r="C1475"/>
    </row>
    <row r="1476" spans="1:46" x14ac:dyDescent="0.25">
      <c r="C1476"/>
    </row>
    <row r="1477" spans="1:46" x14ac:dyDescent="0.25">
      <c r="C1477"/>
    </row>
    <row r="1478" spans="1:46" x14ac:dyDescent="0.25">
      <c r="C1478"/>
    </row>
    <row r="1479" spans="1:46" x14ac:dyDescent="0.25">
      <c r="C1479"/>
    </row>
    <row r="1480" spans="1:46" x14ac:dyDescent="0.25">
      <c r="C1480"/>
    </row>
    <row r="1481" spans="1:46" x14ac:dyDescent="0.25">
      <c r="C1481"/>
    </row>
    <row r="1482" spans="1:46" x14ac:dyDescent="0.25">
      <c r="C1482"/>
    </row>
    <row r="1483" spans="1:46" x14ac:dyDescent="0.25">
      <c r="C1483"/>
    </row>
    <row r="1484" spans="1:46" x14ac:dyDescent="0.25">
      <c r="C1484"/>
    </row>
    <row r="1485" spans="1:46" x14ac:dyDescent="0.25">
      <c r="C1485"/>
    </row>
    <row r="1486" spans="1:46" x14ac:dyDescent="0.25">
      <c r="C1486"/>
    </row>
    <row r="1487" spans="1:46" x14ac:dyDescent="0.25">
      <c r="C1487"/>
    </row>
    <row r="1488" spans="1:46" x14ac:dyDescent="0.25">
      <c r="C1488"/>
    </row>
    <row r="1489" spans="3:3" x14ac:dyDescent="0.25">
      <c r="C1489"/>
    </row>
    <row r="1490" spans="3:3" x14ac:dyDescent="0.25">
      <c r="C1490"/>
    </row>
    <row r="1491" spans="3:3" x14ac:dyDescent="0.25">
      <c r="C1491"/>
    </row>
    <row r="1492" spans="3:3" x14ac:dyDescent="0.25">
      <c r="C1492"/>
    </row>
    <row r="1493" spans="3:3" x14ac:dyDescent="0.25">
      <c r="C1493"/>
    </row>
    <row r="1494" spans="3:3" x14ac:dyDescent="0.25">
      <c r="C1494"/>
    </row>
    <row r="1495" spans="3:3" x14ac:dyDescent="0.25">
      <c r="C1495"/>
    </row>
    <row r="1496" spans="3:3" x14ac:dyDescent="0.25">
      <c r="C1496"/>
    </row>
    <row r="1497" spans="3:3" x14ac:dyDescent="0.25">
      <c r="C1497"/>
    </row>
    <row r="1498" spans="3:3" x14ac:dyDescent="0.25">
      <c r="C1498"/>
    </row>
    <row r="1499" spans="3:3" x14ac:dyDescent="0.25">
      <c r="C1499"/>
    </row>
    <row r="1500" spans="3:3" x14ac:dyDescent="0.25">
      <c r="C1500"/>
    </row>
    <row r="1501" spans="3:3" x14ac:dyDescent="0.25">
      <c r="C1501"/>
    </row>
    <row r="1502" spans="3:3" x14ac:dyDescent="0.25">
      <c r="C1502"/>
    </row>
    <row r="1503" spans="3:3" x14ac:dyDescent="0.25">
      <c r="C1503"/>
    </row>
    <row r="1504" spans="3:3" x14ac:dyDescent="0.25">
      <c r="C1504"/>
    </row>
    <row r="1505" spans="3:3" x14ac:dyDescent="0.25">
      <c r="C1505"/>
    </row>
    <row r="1506" spans="3:3" x14ac:dyDescent="0.25">
      <c r="C1506"/>
    </row>
    <row r="1507" spans="3:3" x14ac:dyDescent="0.25">
      <c r="C1507"/>
    </row>
    <row r="1508" spans="3:3" x14ac:dyDescent="0.25">
      <c r="C1508"/>
    </row>
    <row r="1509" spans="3:3" x14ac:dyDescent="0.25">
      <c r="C1509"/>
    </row>
    <row r="1510" spans="3:3" x14ac:dyDescent="0.25">
      <c r="C1510"/>
    </row>
    <row r="1511" spans="3:3" x14ac:dyDescent="0.25">
      <c r="C1511"/>
    </row>
    <row r="1512" spans="3:3" x14ac:dyDescent="0.25">
      <c r="C1512"/>
    </row>
    <row r="1513" spans="3:3" x14ac:dyDescent="0.25">
      <c r="C1513"/>
    </row>
    <row r="1514" spans="3:3" x14ac:dyDescent="0.25">
      <c r="C1514"/>
    </row>
    <row r="1515" spans="3:3" x14ac:dyDescent="0.25">
      <c r="C1515"/>
    </row>
    <row r="1516" spans="3:3" x14ac:dyDescent="0.25">
      <c r="C1516"/>
    </row>
    <row r="1517" spans="3:3" x14ac:dyDescent="0.25">
      <c r="C1517"/>
    </row>
    <row r="1518" spans="3:3" x14ac:dyDescent="0.25">
      <c r="C1518"/>
    </row>
    <row r="1519" spans="3:3" x14ac:dyDescent="0.25">
      <c r="C1519"/>
    </row>
    <row r="1520" spans="3:3" x14ac:dyDescent="0.25">
      <c r="C1520"/>
    </row>
    <row r="1521" spans="3:3" x14ac:dyDescent="0.25">
      <c r="C1521"/>
    </row>
    <row r="1522" spans="3:3" x14ac:dyDescent="0.25">
      <c r="C1522"/>
    </row>
    <row r="1523" spans="3:3" x14ac:dyDescent="0.25">
      <c r="C1523"/>
    </row>
    <row r="1524" spans="3:3" x14ac:dyDescent="0.25">
      <c r="C1524"/>
    </row>
    <row r="1525" spans="3:3" x14ac:dyDescent="0.25">
      <c r="C1525"/>
    </row>
    <row r="1526" spans="3:3" x14ac:dyDescent="0.25">
      <c r="C1526"/>
    </row>
    <row r="1527" spans="3:3" x14ac:dyDescent="0.25">
      <c r="C1527"/>
    </row>
    <row r="1528" spans="3:3" x14ac:dyDescent="0.25">
      <c r="C1528"/>
    </row>
    <row r="1529" spans="3:3" x14ac:dyDescent="0.25">
      <c r="C1529"/>
    </row>
    <row r="1530" spans="3:3" x14ac:dyDescent="0.25">
      <c r="C1530"/>
    </row>
    <row r="1531" spans="3:3" x14ac:dyDescent="0.25">
      <c r="C1531"/>
    </row>
    <row r="1532" spans="3:3" x14ac:dyDescent="0.25">
      <c r="C1532"/>
    </row>
    <row r="1533" spans="3:3" x14ac:dyDescent="0.25">
      <c r="C1533"/>
    </row>
    <row r="1534" spans="3:3" x14ac:dyDescent="0.25">
      <c r="C1534"/>
    </row>
    <row r="1535" spans="3:3" x14ac:dyDescent="0.25">
      <c r="C1535"/>
    </row>
    <row r="1536" spans="3:3" x14ac:dyDescent="0.25">
      <c r="C1536"/>
    </row>
    <row r="1537" spans="3:3" x14ac:dyDescent="0.25">
      <c r="C1537"/>
    </row>
    <row r="1538" spans="3:3" x14ac:dyDescent="0.25">
      <c r="C1538"/>
    </row>
    <row r="1539" spans="3:3" x14ac:dyDescent="0.25">
      <c r="C1539"/>
    </row>
    <row r="1540" spans="3:3" x14ac:dyDescent="0.25">
      <c r="C1540"/>
    </row>
    <row r="1541" spans="3:3" x14ac:dyDescent="0.25">
      <c r="C1541"/>
    </row>
    <row r="1542" spans="3:3" x14ac:dyDescent="0.25">
      <c r="C1542"/>
    </row>
    <row r="1543" spans="3:3" x14ac:dyDescent="0.25">
      <c r="C1543"/>
    </row>
    <row r="1544" spans="3:3" x14ac:dyDescent="0.25">
      <c r="C1544"/>
    </row>
    <row r="1545" spans="3:3" x14ac:dyDescent="0.25">
      <c r="C1545"/>
    </row>
    <row r="1546" spans="3:3" x14ac:dyDescent="0.25">
      <c r="C1546"/>
    </row>
    <row r="1547" spans="3:3" x14ac:dyDescent="0.25">
      <c r="C1547"/>
    </row>
    <row r="1548" spans="3:3" x14ac:dyDescent="0.25">
      <c r="C1548"/>
    </row>
    <row r="1549" spans="3:3" x14ac:dyDescent="0.25">
      <c r="C1549"/>
    </row>
    <row r="1550" spans="3:3" x14ac:dyDescent="0.25">
      <c r="C1550"/>
    </row>
    <row r="1551" spans="3:3" x14ac:dyDescent="0.25">
      <c r="C1551"/>
    </row>
    <row r="1552" spans="3:3" x14ac:dyDescent="0.25">
      <c r="C1552"/>
    </row>
    <row r="1553" spans="1:46" x14ac:dyDescent="0.25">
      <c r="C1553"/>
    </row>
    <row r="1554" spans="1:46" x14ac:dyDescent="0.25">
      <c r="C1554"/>
    </row>
    <row r="1555" spans="1:46" x14ac:dyDescent="0.25">
      <c r="C1555"/>
    </row>
    <row r="1556" spans="1:46" x14ac:dyDescent="0.25">
      <c r="C1556"/>
    </row>
    <row r="1557" spans="1:46" x14ac:dyDescent="0.25">
      <c r="C1557"/>
    </row>
    <row r="1558" spans="1:46" x14ac:dyDescent="0.25">
      <c r="C1558"/>
    </row>
    <row r="1559" spans="1:46" s="22" customFormat="1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</row>
    <row r="1560" spans="1:46" x14ac:dyDescent="0.25">
      <c r="C1560"/>
    </row>
    <row r="1561" spans="1:46" x14ac:dyDescent="0.25">
      <c r="C1561"/>
    </row>
    <row r="1562" spans="1:46" x14ac:dyDescent="0.25">
      <c r="C1562"/>
    </row>
    <row r="1563" spans="1:46" x14ac:dyDescent="0.25">
      <c r="C1563"/>
    </row>
    <row r="1564" spans="1:46" x14ac:dyDescent="0.25">
      <c r="C1564"/>
    </row>
    <row r="1565" spans="1:46" x14ac:dyDescent="0.25">
      <c r="C1565"/>
    </row>
    <row r="1566" spans="1:46" x14ac:dyDescent="0.25">
      <c r="C1566"/>
    </row>
    <row r="1567" spans="1:46" x14ac:dyDescent="0.25">
      <c r="C1567"/>
    </row>
    <row r="1568" spans="1:46" x14ac:dyDescent="0.25">
      <c r="C1568"/>
    </row>
    <row r="1569" spans="3:3" x14ac:dyDescent="0.25">
      <c r="C1569"/>
    </row>
    <row r="1570" spans="3:3" x14ac:dyDescent="0.25">
      <c r="C1570"/>
    </row>
    <row r="1571" spans="3:3" x14ac:dyDescent="0.25">
      <c r="C1571"/>
    </row>
    <row r="1572" spans="3:3" x14ac:dyDescent="0.25">
      <c r="C1572"/>
    </row>
    <row r="1573" spans="3:3" x14ac:dyDescent="0.25">
      <c r="C1573"/>
    </row>
    <row r="1574" spans="3:3" x14ac:dyDescent="0.25">
      <c r="C1574"/>
    </row>
    <row r="1575" spans="3:3" x14ac:dyDescent="0.25">
      <c r="C1575"/>
    </row>
    <row r="1576" spans="3:3" x14ac:dyDescent="0.25">
      <c r="C1576"/>
    </row>
    <row r="1577" spans="3:3" x14ac:dyDescent="0.25">
      <c r="C1577"/>
    </row>
    <row r="1578" spans="3:3" x14ac:dyDescent="0.25">
      <c r="C1578"/>
    </row>
    <row r="1579" spans="3:3" x14ac:dyDescent="0.25">
      <c r="C1579"/>
    </row>
    <row r="1580" spans="3:3" x14ac:dyDescent="0.25">
      <c r="C1580"/>
    </row>
    <row r="1581" spans="3:3" x14ac:dyDescent="0.25">
      <c r="C1581"/>
    </row>
    <row r="1582" spans="3:3" x14ac:dyDescent="0.25">
      <c r="C1582"/>
    </row>
    <row r="1583" spans="3:3" x14ac:dyDescent="0.25">
      <c r="C1583"/>
    </row>
    <row r="1584" spans="3:3" x14ac:dyDescent="0.25">
      <c r="C1584"/>
    </row>
    <row r="1585" spans="3:3" x14ac:dyDescent="0.25">
      <c r="C1585"/>
    </row>
    <row r="1586" spans="3:3" x14ac:dyDescent="0.25">
      <c r="C1586"/>
    </row>
    <row r="1587" spans="3:3" x14ac:dyDescent="0.25">
      <c r="C1587"/>
    </row>
    <row r="1588" spans="3:3" x14ac:dyDescent="0.25">
      <c r="C1588"/>
    </row>
    <row r="1589" spans="3:3" x14ac:dyDescent="0.25">
      <c r="C1589"/>
    </row>
    <row r="1590" spans="3:3" x14ac:dyDescent="0.25">
      <c r="C1590"/>
    </row>
    <row r="1591" spans="3:3" x14ac:dyDescent="0.25">
      <c r="C1591"/>
    </row>
    <row r="1592" spans="3:3" x14ac:dyDescent="0.25">
      <c r="C1592"/>
    </row>
    <row r="1593" spans="3:3" x14ac:dyDescent="0.25">
      <c r="C1593"/>
    </row>
    <row r="1594" spans="3:3" x14ac:dyDescent="0.25">
      <c r="C1594"/>
    </row>
    <row r="1595" spans="3:3" x14ac:dyDescent="0.25">
      <c r="C1595"/>
    </row>
    <row r="1596" spans="3:3" x14ac:dyDescent="0.25">
      <c r="C1596"/>
    </row>
    <row r="1597" spans="3:3" x14ac:dyDescent="0.25">
      <c r="C1597"/>
    </row>
    <row r="1598" spans="3:3" x14ac:dyDescent="0.25">
      <c r="C1598"/>
    </row>
    <row r="1599" spans="3:3" x14ac:dyDescent="0.25">
      <c r="C1599"/>
    </row>
    <row r="1600" spans="3:3" x14ac:dyDescent="0.25">
      <c r="C1600"/>
    </row>
    <row r="1601" spans="3:3" x14ac:dyDescent="0.25">
      <c r="C1601"/>
    </row>
    <row r="1602" spans="3:3" x14ac:dyDescent="0.25">
      <c r="C1602"/>
    </row>
    <row r="1603" spans="3:3" x14ac:dyDescent="0.25">
      <c r="C1603"/>
    </row>
    <row r="1604" spans="3:3" x14ac:dyDescent="0.25">
      <c r="C1604"/>
    </row>
    <row r="1605" spans="3:3" x14ac:dyDescent="0.25">
      <c r="C1605"/>
    </row>
    <row r="1606" spans="3:3" x14ac:dyDescent="0.25">
      <c r="C1606"/>
    </row>
    <row r="1607" spans="3:3" x14ac:dyDescent="0.25">
      <c r="C1607"/>
    </row>
    <row r="1608" spans="3:3" x14ac:dyDescent="0.25">
      <c r="C1608"/>
    </row>
    <row r="1609" spans="3:3" x14ac:dyDescent="0.25">
      <c r="C1609"/>
    </row>
    <row r="1610" spans="3:3" x14ac:dyDescent="0.25">
      <c r="C1610"/>
    </row>
    <row r="1611" spans="3:3" x14ac:dyDescent="0.25">
      <c r="C1611"/>
    </row>
    <row r="1612" spans="3:3" x14ac:dyDescent="0.25">
      <c r="C1612"/>
    </row>
    <row r="1613" spans="3:3" x14ac:dyDescent="0.25">
      <c r="C1613"/>
    </row>
    <row r="1614" spans="3:3" x14ac:dyDescent="0.25">
      <c r="C1614"/>
    </row>
    <row r="1615" spans="3:3" x14ac:dyDescent="0.25">
      <c r="C1615"/>
    </row>
    <row r="1616" spans="3:3" x14ac:dyDescent="0.25">
      <c r="C1616"/>
    </row>
    <row r="1617" spans="3:3" x14ac:dyDescent="0.25">
      <c r="C1617"/>
    </row>
    <row r="1618" spans="3:3" x14ac:dyDescent="0.25">
      <c r="C1618"/>
    </row>
    <row r="1619" spans="3:3" x14ac:dyDescent="0.25">
      <c r="C1619"/>
    </row>
    <row r="1620" spans="3:3" x14ac:dyDescent="0.25">
      <c r="C1620"/>
    </row>
    <row r="1621" spans="3:3" x14ac:dyDescent="0.25">
      <c r="C1621"/>
    </row>
    <row r="1622" spans="3:3" x14ac:dyDescent="0.25">
      <c r="C1622"/>
    </row>
    <row r="1623" spans="3:3" x14ac:dyDescent="0.25">
      <c r="C1623"/>
    </row>
    <row r="1624" spans="3:3" x14ac:dyDescent="0.25">
      <c r="C1624"/>
    </row>
    <row r="1625" spans="3:3" x14ac:dyDescent="0.25">
      <c r="C1625"/>
    </row>
    <row r="1626" spans="3:3" x14ac:dyDescent="0.25">
      <c r="C1626"/>
    </row>
    <row r="1627" spans="3:3" x14ac:dyDescent="0.25">
      <c r="C1627"/>
    </row>
    <row r="1628" spans="3:3" x14ac:dyDescent="0.25">
      <c r="C1628"/>
    </row>
    <row r="1629" spans="3:3" x14ac:dyDescent="0.25">
      <c r="C1629"/>
    </row>
    <row r="1630" spans="3:3" x14ac:dyDescent="0.25">
      <c r="C1630"/>
    </row>
    <row r="1631" spans="3:3" x14ac:dyDescent="0.25">
      <c r="C1631"/>
    </row>
    <row r="1632" spans="3:3" x14ac:dyDescent="0.25">
      <c r="C1632"/>
    </row>
    <row r="1633" spans="3:3" x14ac:dyDescent="0.25">
      <c r="C1633"/>
    </row>
    <row r="1634" spans="3:3" x14ac:dyDescent="0.25">
      <c r="C1634"/>
    </row>
    <row r="1635" spans="3:3" x14ac:dyDescent="0.25">
      <c r="C1635"/>
    </row>
    <row r="1636" spans="3:3" x14ac:dyDescent="0.25">
      <c r="C1636"/>
    </row>
    <row r="1637" spans="3:3" x14ac:dyDescent="0.25">
      <c r="C1637"/>
    </row>
    <row r="1638" spans="3:3" x14ac:dyDescent="0.25">
      <c r="C1638"/>
    </row>
    <row r="1639" spans="3:3" x14ac:dyDescent="0.25">
      <c r="C1639"/>
    </row>
    <row r="1640" spans="3:3" x14ac:dyDescent="0.25">
      <c r="C1640"/>
    </row>
    <row r="1641" spans="3:3" x14ac:dyDescent="0.25">
      <c r="C1641"/>
    </row>
    <row r="1642" spans="3:3" x14ac:dyDescent="0.25">
      <c r="C1642"/>
    </row>
    <row r="1643" spans="3:3" x14ac:dyDescent="0.25">
      <c r="C1643"/>
    </row>
    <row r="1644" spans="3:3" x14ac:dyDescent="0.25">
      <c r="C1644"/>
    </row>
    <row r="1645" spans="3:3" x14ac:dyDescent="0.25">
      <c r="C1645"/>
    </row>
    <row r="1646" spans="3:3" x14ac:dyDescent="0.25">
      <c r="C1646"/>
    </row>
    <row r="1647" spans="3:3" x14ac:dyDescent="0.25">
      <c r="C1647"/>
    </row>
    <row r="1648" spans="3:3" x14ac:dyDescent="0.25">
      <c r="C1648"/>
    </row>
    <row r="1649" spans="3:3" x14ac:dyDescent="0.25">
      <c r="C1649"/>
    </row>
    <row r="1650" spans="3:3" x14ac:dyDescent="0.25">
      <c r="C1650"/>
    </row>
    <row r="1651" spans="3:3" x14ac:dyDescent="0.25">
      <c r="C1651"/>
    </row>
    <row r="1652" spans="3:3" x14ac:dyDescent="0.25">
      <c r="C1652"/>
    </row>
    <row r="1653" spans="3:3" x14ac:dyDescent="0.25">
      <c r="C1653"/>
    </row>
    <row r="1654" spans="3:3" x14ac:dyDescent="0.25">
      <c r="C1654"/>
    </row>
    <row r="1655" spans="3:3" x14ac:dyDescent="0.25">
      <c r="C1655"/>
    </row>
    <row r="1656" spans="3:3" x14ac:dyDescent="0.25">
      <c r="C1656"/>
    </row>
    <row r="1657" spans="3:3" x14ac:dyDescent="0.25">
      <c r="C1657"/>
    </row>
    <row r="1658" spans="3:3" x14ac:dyDescent="0.25">
      <c r="C1658"/>
    </row>
    <row r="1659" spans="3:3" x14ac:dyDescent="0.25">
      <c r="C1659"/>
    </row>
    <row r="1660" spans="3:3" x14ac:dyDescent="0.25">
      <c r="C1660"/>
    </row>
    <row r="1661" spans="3:3" x14ac:dyDescent="0.25">
      <c r="C1661"/>
    </row>
    <row r="1662" spans="3:3" x14ac:dyDescent="0.25">
      <c r="C1662"/>
    </row>
    <row r="1663" spans="3:3" x14ac:dyDescent="0.25">
      <c r="C1663"/>
    </row>
    <row r="1664" spans="3:3" x14ac:dyDescent="0.25">
      <c r="C1664"/>
    </row>
    <row r="1665" spans="3:3" x14ac:dyDescent="0.25">
      <c r="C1665"/>
    </row>
    <row r="1666" spans="3:3" x14ac:dyDescent="0.25">
      <c r="C1666"/>
    </row>
    <row r="1667" spans="3:3" x14ac:dyDescent="0.25">
      <c r="C1667"/>
    </row>
    <row r="1668" spans="3:3" x14ac:dyDescent="0.25">
      <c r="C1668"/>
    </row>
    <row r="1669" spans="3:3" x14ac:dyDescent="0.25">
      <c r="C1669"/>
    </row>
    <row r="1670" spans="3:3" x14ac:dyDescent="0.25">
      <c r="C1670"/>
    </row>
    <row r="1671" spans="3:3" x14ac:dyDescent="0.25">
      <c r="C1671"/>
    </row>
    <row r="1672" spans="3:3" x14ac:dyDescent="0.25">
      <c r="C1672"/>
    </row>
    <row r="1673" spans="3:3" x14ac:dyDescent="0.25">
      <c r="C1673"/>
    </row>
    <row r="1674" spans="3:3" x14ac:dyDescent="0.25">
      <c r="C1674"/>
    </row>
    <row r="1675" spans="3:3" x14ac:dyDescent="0.25">
      <c r="C1675"/>
    </row>
    <row r="1676" spans="3:3" x14ac:dyDescent="0.25">
      <c r="C1676"/>
    </row>
    <row r="1677" spans="3:3" x14ac:dyDescent="0.25">
      <c r="C1677"/>
    </row>
    <row r="1678" spans="3:3" x14ac:dyDescent="0.25">
      <c r="C1678"/>
    </row>
    <row r="1679" spans="3:3" x14ac:dyDescent="0.25">
      <c r="C1679"/>
    </row>
    <row r="1680" spans="3:3" x14ac:dyDescent="0.25">
      <c r="C1680"/>
    </row>
    <row r="1681" spans="3:3" x14ac:dyDescent="0.25">
      <c r="C1681"/>
    </row>
    <row r="1682" spans="3:3" x14ac:dyDescent="0.25">
      <c r="C1682"/>
    </row>
    <row r="1683" spans="3:3" x14ac:dyDescent="0.25">
      <c r="C1683"/>
    </row>
    <row r="1684" spans="3:3" x14ac:dyDescent="0.25">
      <c r="C1684"/>
    </row>
    <row r="1685" spans="3:3" x14ac:dyDescent="0.25">
      <c r="C1685"/>
    </row>
    <row r="1686" spans="3:3" x14ac:dyDescent="0.25">
      <c r="C1686"/>
    </row>
    <row r="1687" spans="3:3" x14ac:dyDescent="0.25">
      <c r="C1687"/>
    </row>
    <row r="1688" spans="3:3" x14ac:dyDescent="0.25">
      <c r="C1688"/>
    </row>
    <row r="1689" spans="3:3" x14ac:dyDescent="0.25">
      <c r="C1689"/>
    </row>
    <row r="1690" spans="3:3" x14ac:dyDescent="0.25">
      <c r="C1690"/>
    </row>
    <row r="1691" spans="3:3" x14ac:dyDescent="0.25">
      <c r="C1691"/>
    </row>
    <row r="1692" spans="3:3" x14ac:dyDescent="0.25">
      <c r="C1692"/>
    </row>
    <row r="1693" spans="3:3" x14ac:dyDescent="0.25">
      <c r="C1693"/>
    </row>
    <row r="1694" spans="3:3" x14ac:dyDescent="0.25">
      <c r="C1694"/>
    </row>
    <row r="1695" spans="3:3" x14ac:dyDescent="0.25">
      <c r="C1695"/>
    </row>
    <row r="1696" spans="3:3" x14ac:dyDescent="0.25">
      <c r="C1696"/>
    </row>
    <row r="1697" spans="3:3" x14ac:dyDescent="0.25">
      <c r="C1697"/>
    </row>
    <row r="1698" spans="3:3" x14ac:dyDescent="0.25">
      <c r="C1698"/>
    </row>
    <row r="1699" spans="3:3" x14ac:dyDescent="0.25">
      <c r="C1699"/>
    </row>
    <row r="1700" spans="3:3" x14ac:dyDescent="0.25">
      <c r="C1700"/>
    </row>
    <row r="1701" spans="3:3" x14ac:dyDescent="0.25">
      <c r="C1701"/>
    </row>
    <row r="1702" spans="3:3" x14ac:dyDescent="0.25">
      <c r="C1702"/>
    </row>
    <row r="1703" spans="3:3" x14ac:dyDescent="0.25">
      <c r="C1703"/>
    </row>
    <row r="1704" spans="3:3" x14ac:dyDescent="0.25">
      <c r="C1704"/>
    </row>
    <row r="1705" spans="3:3" x14ac:dyDescent="0.25">
      <c r="C1705"/>
    </row>
    <row r="1706" spans="3:3" x14ac:dyDescent="0.25">
      <c r="C1706"/>
    </row>
    <row r="1707" spans="3:3" x14ac:dyDescent="0.25">
      <c r="C1707"/>
    </row>
    <row r="1708" spans="3:3" x14ac:dyDescent="0.25">
      <c r="C1708"/>
    </row>
    <row r="1709" spans="3:3" x14ac:dyDescent="0.25">
      <c r="C1709"/>
    </row>
    <row r="1710" spans="3:3" x14ac:dyDescent="0.25">
      <c r="C1710"/>
    </row>
    <row r="1711" spans="3:3" x14ac:dyDescent="0.25">
      <c r="C1711"/>
    </row>
    <row r="1712" spans="3:3" x14ac:dyDescent="0.25">
      <c r="C1712"/>
    </row>
    <row r="1713" spans="3:3" x14ac:dyDescent="0.25">
      <c r="C1713"/>
    </row>
    <row r="1714" spans="3:3" x14ac:dyDescent="0.25">
      <c r="C1714"/>
    </row>
    <row r="1715" spans="3:3" x14ac:dyDescent="0.25">
      <c r="C1715"/>
    </row>
    <row r="1716" spans="3:3" x14ac:dyDescent="0.25">
      <c r="C1716"/>
    </row>
    <row r="1717" spans="3:3" x14ac:dyDescent="0.25">
      <c r="C1717"/>
    </row>
    <row r="1718" spans="3:3" x14ac:dyDescent="0.25">
      <c r="C1718"/>
    </row>
    <row r="1719" spans="3:3" x14ac:dyDescent="0.25">
      <c r="C1719"/>
    </row>
    <row r="1720" spans="3:3" x14ac:dyDescent="0.25">
      <c r="C1720"/>
    </row>
    <row r="1721" spans="3:3" x14ac:dyDescent="0.25">
      <c r="C1721"/>
    </row>
    <row r="1722" spans="3:3" x14ac:dyDescent="0.25">
      <c r="C1722"/>
    </row>
    <row r="1723" spans="3:3" x14ac:dyDescent="0.25">
      <c r="C1723"/>
    </row>
    <row r="1724" spans="3:3" x14ac:dyDescent="0.25">
      <c r="C1724"/>
    </row>
    <row r="1725" spans="3:3" x14ac:dyDescent="0.25">
      <c r="C1725"/>
    </row>
    <row r="1726" spans="3:3" x14ac:dyDescent="0.25">
      <c r="C1726"/>
    </row>
    <row r="1727" spans="3:3" x14ac:dyDescent="0.25">
      <c r="C1727"/>
    </row>
    <row r="1728" spans="3:3" x14ac:dyDescent="0.25">
      <c r="C1728"/>
    </row>
    <row r="1729" spans="3:3" x14ac:dyDescent="0.25">
      <c r="C1729"/>
    </row>
    <row r="1730" spans="3:3" x14ac:dyDescent="0.25">
      <c r="C1730"/>
    </row>
    <row r="1731" spans="3:3" x14ac:dyDescent="0.25">
      <c r="C1731"/>
    </row>
    <row r="1732" spans="3:3" x14ac:dyDescent="0.25">
      <c r="C1732"/>
    </row>
    <row r="1733" spans="3:3" x14ac:dyDescent="0.25">
      <c r="C1733"/>
    </row>
    <row r="1734" spans="3:3" x14ac:dyDescent="0.25">
      <c r="C1734"/>
    </row>
    <row r="1735" spans="3:3" x14ac:dyDescent="0.25">
      <c r="C1735"/>
    </row>
    <row r="1736" spans="3:3" x14ac:dyDescent="0.25">
      <c r="C1736"/>
    </row>
    <row r="1737" spans="3:3" x14ac:dyDescent="0.25">
      <c r="C1737"/>
    </row>
    <row r="1738" spans="3:3" x14ac:dyDescent="0.25">
      <c r="C1738"/>
    </row>
    <row r="1739" spans="3:3" x14ac:dyDescent="0.25">
      <c r="C1739"/>
    </row>
    <row r="1740" spans="3:3" x14ac:dyDescent="0.25">
      <c r="C1740"/>
    </row>
    <row r="1741" spans="3:3" x14ac:dyDescent="0.25">
      <c r="C1741"/>
    </row>
    <row r="1742" spans="3:3" x14ac:dyDescent="0.25">
      <c r="C1742"/>
    </row>
    <row r="1743" spans="3:3" x14ac:dyDescent="0.25">
      <c r="C1743"/>
    </row>
    <row r="1744" spans="3:3" x14ac:dyDescent="0.25">
      <c r="C1744"/>
    </row>
    <row r="1745" spans="3:3" x14ac:dyDescent="0.25">
      <c r="C1745"/>
    </row>
    <row r="1746" spans="3:3" x14ac:dyDescent="0.25">
      <c r="C1746"/>
    </row>
    <row r="1747" spans="3:3" x14ac:dyDescent="0.25">
      <c r="C1747"/>
    </row>
    <row r="1748" spans="3:3" x14ac:dyDescent="0.25">
      <c r="C1748"/>
    </row>
    <row r="1749" spans="3:3" x14ac:dyDescent="0.25">
      <c r="C1749"/>
    </row>
    <row r="1750" spans="3:3" x14ac:dyDescent="0.25">
      <c r="C1750"/>
    </row>
    <row r="1751" spans="3:3" x14ac:dyDescent="0.25">
      <c r="C1751"/>
    </row>
    <row r="1752" spans="3:3" x14ac:dyDescent="0.25">
      <c r="C1752"/>
    </row>
    <row r="1753" spans="3:3" x14ac:dyDescent="0.25">
      <c r="C1753"/>
    </row>
    <row r="1754" spans="3:3" x14ac:dyDescent="0.25">
      <c r="C1754"/>
    </row>
    <row r="1755" spans="3:3" x14ac:dyDescent="0.25">
      <c r="C1755"/>
    </row>
    <row r="1756" spans="3:3" x14ac:dyDescent="0.25">
      <c r="C1756"/>
    </row>
    <row r="1757" spans="3:3" x14ac:dyDescent="0.25">
      <c r="C1757"/>
    </row>
    <row r="1758" spans="3:3" x14ac:dyDescent="0.25">
      <c r="C1758"/>
    </row>
    <row r="1759" spans="3:3" x14ac:dyDescent="0.25">
      <c r="C1759"/>
    </row>
    <row r="1760" spans="3:3" x14ac:dyDescent="0.25">
      <c r="C1760"/>
    </row>
    <row r="1761" spans="3:3" x14ac:dyDescent="0.25">
      <c r="C1761"/>
    </row>
    <row r="1762" spans="3:3" x14ac:dyDescent="0.25">
      <c r="C1762"/>
    </row>
    <row r="1763" spans="3:3" x14ac:dyDescent="0.25">
      <c r="C1763"/>
    </row>
    <row r="1764" spans="3:3" x14ac:dyDescent="0.25">
      <c r="C1764"/>
    </row>
    <row r="1765" spans="3:3" x14ac:dyDescent="0.25">
      <c r="C1765"/>
    </row>
    <row r="1766" spans="3:3" x14ac:dyDescent="0.25">
      <c r="C1766"/>
    </row>
    <row r="1767" spans="3:3" x14ac:dyDescent="0.25">
      <c r="C1767"/>
    </row>
    <row r="1768" spans="3:3" x14ac:dyDescent="0.25">
      <c r="C1768"/>
    </row>
    <row r="1769" spans="3:3" x14ac:dyDescent="0.25">
      <c r="C1769"/>
    </row>
    <row r="1770" spans="3:3" x14ac:dyDescent="0.25">
      <c r="C1770"/>
    </row>
    <row r="1771" spans="3:3" x14ac:dyDescent="0.25">
      <c r="C1771"/>
    </row>
    <row r="1772" spans="3:3" x14ac:dyDescent="0.25">
      <c r="C1772"/>
    </row>
    <row r="1773" spans="3:3" x14ac:dyDescent="0.25">
      <c r="C1773"/>
    </row>
    <row r="1774" spans="3:3" x14ac:dyDescent="0.25">
      <c r="C1774"/>
    </row>
    <row r="1775" spans="3:3" x14ac:dyDescent="0.25">
      <c r="C1775"/>
    </row>
    <row r="1776" spans="3:3" x14ac:dyDescent="0.25">
      <c r="C1776"/>
    </row>
    <row r="1777" spans="3:3" x14ac:dyDescent="0.25">
      <c r="C1777"/>
    </row>
    <row r="1778" spans="3:3" x14ac:dyDescent="0.25">
      <c r="C1778"/>
    </row>
    <row r="1779" spans="3:3" x14ac:dyDescent="0.25">
      <c r="C1779"/>
    </row>
    <row r="1780" spans="3:3" x14ac:dyDescent="0.25">
      <c r="C1780"/>
    </row>
    <row r="1781" spans="3:3" x14ac:dyDescent="0.25">
      <c r="C1781"/>
    </row>
    <row r="1782" spans="3:3" x14ac:dyDescent="0.25">
      <c r="C1782"/>
    </row>
    <row r="1783" spans="3:3" x14ac:dyDescent="0.25">
      <c r="C1783"/>
    </row>
    <row r="1784" spans="3:3" x14ac:dyDescent="0.25">
      <c r="C1784"/>
    </row>
    <row r="1785" spans="3:3" x14ac:dyDescent="0.25">
      <c r="C1785"/>
    </row>
    <row r="1786" spans="3:3" x14ac:dyDescent="0.25">
      <c r="C1786"/>
    </row>
    <row r="1787" spans="3:3" x14ac:dyDescent="0.25">
      <c r="C1787"/>
    </row>
    <row r="1788" spans="3:3" x14ac:dyDescent="0.25">
      <c r="C1788"/>
    </row>
    <row r="1789" spans="3:3" x14ac:dyDescent="0.25">
      <c r="C1789"/>
    </row>
    <row r="1790" spans="3:3" x14ac:dyDescent="0.25">
      <c r="C1790"/>
    </row>
    <row r="1791" spans="3:3" x14ac:dyDescent="0.25">
      <c r="C1791"/>
    </row>
    <row r="1792" spans="3:3" x14ac:dyDescent="0.25">
      <c r="C1792"/>
    </row>
    <row r="1793" spans="1:46" x14ac:dyDescent="0.25">
      <c r="C1793"/>
    </row>
    <row r="1794" spans="1:46" x14ac:dyDescent="0.25">
      <c r="C1794"/>
    </row>
    <row r="1795" spans="1:46" x14ac:dyDescent="0.25">
      <c r="C1795"/>
    </row>
    <row r="1796" spans="1:46" x14ac:dyDescent="0.25">
      <c r="C1796"/>
    </row>
    <row r="1797" spans="1:46" x14ac:dyDescent="0.25">
      <c r="C1797"/>
    </row>
    <row r="1798" spans="1:46" x14ac:dyDescent="0.25">
      <c r="C1798"/>
    </row>
    <row r="1799" spans="1:46" x14ac:dyDescent="0.25">
      <c r="C1799"/>
    </row>
    <row r="1800" spans="1:46" x14ac:dyDescent="0.25">
      <c r="C1800"/>
    </row>
    <row r="1801" spans="1:46" x14ac:dyDescent="0.25">
      <c r="C1801"/>
    </row>
    <row r="1802" spans="1:46" x14ac:dyDescent="0.25">
      <c r="C1802"/>
    </row>
    <row r="1803" spans="1:46" x14ac:dyDescent="0.25">
      <c r="C1803"/>
    </row>
    <row r="1804" spans="1:46" x14ac:dyDescent="0.25">
      <c r="C1804"/>
    </row>
    <row r="1805" spans="1:46" s="22" customFormat="1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</row>
    <row r="1806" spans="1:46" x14ac:dyDescent="0.25">
      <c r="C1806"/>
    </row>
    <row r="1807" spans="1:46" x14ac:dyDescent="0.25">
      <c r="C1807"/>
    </row>
    <row r="1808" spans="1:46" x14ac:dyDescent="0.25">
      <c r="C1808"/>
    </row>
    <row r="1809" spans="3:3" x14ac:dyDescent="0.25">
      <c r="C1809"/>
    </row>
    <row r="1810" spans="3:3" x14ac:dyDescent="0.25">
      <c r="C1810"/>
    </row>
    <row r="1811" spans="3:3" x14ac:dyDescent="0.25">
      <c r="C1811"/>
    </row>
    <row r="1812" spans="3:3" x14ac:dyDescent="0.25">
      <c r="C1812"/>
    </row>
    <row r="1813" spans="3:3" x14ac:dyDescent="0.25">
      <c r="C1813"/>
    </row>
    <row r="1814" spans="3:3" x14ac:dyDescent="0.25">
      <c r="C1814"/>
    </row>
    <row r="1815" spans="3:3" x14ac:dyDescent="0.25">
      <c r="C1815"/>
    </row>
    <row r="1816" spans="3:3" x14ac:dyDescent="0.25">
      <c r="C1816"/>
    </row>
    <row r="1817" spans="3:3" x14ac:dyDescent="0.25">
      <c r="C1817"/>
    </row>
    <row r="1818" spans="3:3" x14ac:dyDescent="0.25">
      <c r="C1818"/>
    </row>
    <row r="1819" spans="3:3" x14ac:dyDescent="0.25">
      <c r="C1819"/>
    </row>
    <row r="1820" spans="3:3" x14ac:dyDescent="0.25">
      <c r="C1820"/>
    </row>
    <row r="1821" spans="3:3" x14ac:dyDescent="0.25">
      <c r="C1821"/>
    </row>
    <row r="1822" spans="3:3" x14ac:dyDescent="0.25">
      <c r="C1822"/>
    </row>
    <row r="1823" spans="3:3" x14ac:dyDescent="0.25">
      <c r="C1823"/>
    </row>
    <row r="1824" spans="3:3" x14ac:dyDescent="0.25">
      <c r="C1824"/>
    </row>
    <row r="1825" spans="3:3" x14ac:dyDescent="0.25">
      <c r="C1825"/>
    </row>
    <row r="1826" spans="3:3" x14ac:dyDescent="0.25">
      <c r="C1826"/>
    </row>
    <row r="1827" spans="3:3" x14ac:dyDescent="0.25">
      <c r="C1827"/>
    </row>
    <row r="1828" spans="3:3" x14ac:dyDescent="0.25">
      <c r="C1828"/>
    </row>
    <row r="1829" spans="3:3" x14ac:dyDescent="0.25">
      <c r="C1829"/>
    </row>
    <row r="1830" spans="3:3" x14ac:dyDescent="0.25">
      <c r="C1830"/>
    </row>
    <row r="1831" spans="3:3" x14ac:dyDescent="0.25">
      <c r="C1831"/>
    </row>
    <row r="1832" spans="3:3" x14ac:dyDescent="0.25">
      <c r="C1832"/>
    </row>
    <row r="1833" spans="3:3" x14ac:dyDescent="0.25">
      <c r="C1833"/>
    </row>
    <row r="1834" spans="3:3" x14ac:dyDescent="0.25">
      <c r="C1834"/>
    </row>
    <row r="1835" spans="3:3" x14ac:dyDescent="0.25">
      <c r="C1835"/>
    </row>
    <row r="1836" spans="3:3" x14ac:dyDescent="0.25">
      <c r="C1836"/>
    </row>
    <row r="1837" spans="3:3" x14ac:dyDescent="0.25">
      <c r="C1837"/>
    </row>
    <row r="1838" spans="3:3" x14ac:dyDescent="0.25">
      <c r="C1838"/>
    </row>
    <row r="1839" spans="3:3" x14ac:dyDescent="0.25">
      <c r="C1839"/>
    </row>
    <row r="1840" spans="3:3" x14ac:dyDescent="0.25">
      <c r="C1840"/>
    </row>
    <row r="1841" spans="3:3" x14ac:dyDescent="0.25">
      <c r="C1841"/>
    </row>
    <row r="1842" spans="3:3" x14ac:dyDescent="0.25">
      <c r="C1842"/>
    </row>
    <row r="1843" spans="3:3" x14ac:dyDescent="0.25">
      <c r="C1843"/>
    </row>
    <row r="1844" spans="3:3" x14ac:dyDescent="0.25">
      <c r="C1844"/>
    </row>
    <row r="1845" spans="3:3" x14ac:dyDescent="0.25">
      <c r="C1845"/>
    </row>
    <row r="1846" spans="3:3" x14ac:dyDescent="0.25">
      <c r="C1846"/>
    </row>
    <row r="1847" spans="3:3" x14ac:dyDescent="0.25">
      <c r="C1847"/>
    </row>
    <row r="1848" spans="3:3" x14ac:dyDescent="0.25">
      <c r="C1848"/>
    </row>
    <row r="1849" spans="3:3" x14ac:dyDescent="0.25">
      <c r="C1849"/>
    </row>
    <row r="1850" spans="3:3" x14ac:dyDescent="0.25">
      <c r="C1850"/>
    </row>
    <row r="1851" spans="3:3" x14ac:dyDescent="0.25">
      <c r="C1851"/>
    </row>
    <row r="1852" spans="3:3" x14ac:dyDescent="0.25">
      <c r="C1852"/>
    </row>
    <row r="1853" spans="3:3" x14ac:dyDescent="0.25">
      <c r="C1853"/>
    </row>
    <row r="1854" spans="3:3" x14ac:dyDescent="0.25">
      <c r="C1854"/>
    </row>
    <row r="1855" spans="3:3" x14ac:dyDescent="0.25">
      <c r="C1855"/>
    </row>
    <row r="1856" spans="3:3" x14ac:dyDescent="0.25">
      <c r="C1856"/>
    </row>
    <row r="1857" spans="3:3" x14ac:dyDescent="0.25">
      <c r="C1857"/>
    </row>
    <row r="1858" spans="3:3" x14ac:dyDescent="0.25">
      <c r="C1858"/>
    </row>
    <row r="1859" spans="3:3" x14ac:dyDescent="0.25">
      <c r="C1859"/>
    </row>
    <row r="1860" spans="3:3" x14ac:dyDescent="0.25">
      <c r="C1860"/>
    </row>
    <row r="1861" spans="3:3" x14ac:dyDescent="0.25">
      <c r="C1861"/>
    </row>
    <row r="1862" spans="3:3" x14ac:dyDescent="0.25">
      <c r="C1862"/>
    </row>
    <row r="1863" spans="3:3" x14ac:dyDescent="0.25">
      <c r="C1863"/>
    </row>
    <row r="1864" spans="3:3" x14ac:dyDescent="0.25">
      <c r="C1864"/>
    </row>
    <row r="1865" spans="3:3" x14ac:dyDescent="0.25">
      <c r="C1865"/>
    </row>
    <row r="1866" spans="3:3" x14ac:dyDescent="0.25">
      <c r="C1866"/>
    </row>
    <row r="1867" spans="3:3" x14ac:dyDescent="0.25">
      <c r="C1867"/>
    </row>
    <row r="1868" spans="3:3" x14ac:dyDescent="0.25">
      <c r="C1868"/>
    </row>
    <row r="1869" spans="3:3" x14ac:dyDescent="0.25">
      <c r="C1869"/>
    </row>
    <row r="1870" spans="3:3" x14ac:dyDescent="0.25">
      <c r="C1870"/>
    </row>
    <row r="1871" spans="3:3" x14ac:dyDescent="0.25">
      <c r="C1871"/>
    </row>
    <row r="1872" spans="3:3" x14ac:dyDescent="0.25">
      <c r="C1872"/>
    </row>
    <row r="1873" spans="1:46" x14ac:dyDescent="0.25">
      <c r="C1873"/>
    </row>
    <row r="1874" spans="1:46" x14ac:dyDescent="0.25">
      <c r="C1874"/>
    </row>
    <row r="1875" spans="1:46" x14ac:dyDescent="0.25">
      <c r="C1875"/>
    </row>
    <row r="1876" spans="1:46" x14ac:dyDescent="0.25">
      <c r="C1876"/>
    </row>
    <row r="1877" spans="1:46" x14ac:dyDescent="0.25">
      <c r="C1877"/>
    </row>
    <row r="1878" spans="1:46" x14ac:dyDescent="0.25">
      <c r="C1878"/>
    </row>
    <row r="1879" spans="1:46" x14ac:dyDescent="0.25">
      <c r="C1879"/>
    </row>
    <row r="1880" spans="1:46" x14ac:dyDescent="0.25">
      <c r="C1880"/>
    </row>
    <row r="1881" spans="1:46" x14ac:dyDescent="0.25">
      <c r="C1881"/>
    </row>
    <row r="1882" spans="1:46" x14ac:dyDescent="0.25">
      <c r="C1882"/>
    </row>
    <row r="1883" spans="1:46" x14ac:dyDescent="0.25">
      <c r="C1883"/>
    </row>
    <row r="1884" spans="1:46" x14ac:dyDescent="0.25">
      <c r="C1884"/>
    </row>
    <row r="1885" spans="1:46" x14ac:dyDescent="0.25">
      <c r="C1885"/>
    </row>
    <row r="1886" spans="1:46" x14ac:dyDescent="0.25">
      <c r="C1886"/>
    </row>
    <row r="1887" spans="1:46" x14ac:dyDescent="0.25">
      <c r="C1887"/>
    </row>
    <row r="1888" spans="1:46" s="22" customFormat="1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</row>
    <row r="1889" spans="3:3" x14ac:dyDescent="0.25">
      <c r="C1889"/>
    </row>
    <row r="1890" spans="3:3" x14ac:dyDescent="0.25">
      <c r="C1890"/>
    </row>
    <row r="1891" spans="3:3" x14ac:dyDescent="0.25">
      <c r="C1891"/>
    </row>
    <row r="1892" spans="3:3" x14ac:dyDescent="0.25">
      <c r="C1892"/>
    </row>
    <row r="1893" spans="3:3" x14ac:dyDescent="0.25">
      <c r="C1893"/>
    </row>
    <row r="1894" spans="3:3" x14ac:dyDescent="0.25">
      <c r="C1894"/>
    </row>
    <row r="1895" spans="3:3" x14ac:dyDescent="0.25">
      <c r="C1895"/>
    </row>
    <row r="1896" spans="3:3" x14ac:dyDescent="0.25">
      <c r="C1896"/>
    </row>
    <row r="1897" spans="3:3" x14ac:dyDescent="0.25">
      <c r="C1897"/>
    </row>
    <row r="1898" spans="3:3" x14ac:dyDescent="0.25">
      <c r="C1898"/>
    </row>
    <row r="1899" spans="3:3" x14ac:dyDescent="0.25">
      <c r="C1899"/>
    </row>
    <row r="1900" spans="3:3" x14ac:dyDescent="0.25">
      <c r="C1900"/>
    </row>
    <row r="1901" spans="3:3" x14ac:dyDescent="0.25">
      <c r="C1901"/>
    </row>
    <row r="1902" spans="3:3" x14ac:dyDescent="0.25">
      <c r="C1902"/>
    </row>
    <row r="1903" spans="3:3" x14ac:dyDescent="0.25">
      <c r="C1903"/>
    </row>
    <row r="1904" spans="3:3" x14ac:dyDescent="0.25">
      <c r="C1904"/>
    </row>
    <row r="1905" spans="3:3" x14ac:dyDescent="0.25">
      <c r="C1905"/>
    </row>
    <row r="1906" spans="3:3" x14ac:dyDescent="0.25">
      <c r="C1906"/>
    </row>
    <row r="1907" spans="3:3" x14ac:dyDescent="0.25">
      <c r="C1907"/>
    </row>
    <row r="1908" spans="3:3" x14ac:dyDescent="0.25">
      <c r="C1908"/>
    </row>
    <row r="1909" spans="3:3" x14ac:dyDescent="0.25">
      <c r="C1909"/>
    </row>
    <row r="1910" spans="3:3" x14ac:dyDescent="0.25">
      <c r="C1910"/>
    </row>
    <row r="1911" spans="3:3" x14ac:dyDescent="0.25">
      <c r="C1911"/>
    </row>
    <row r="1912" spans="3:3" x14ac:dyDescent="0.25">
      <c r="C1912"/>
    </row>
    <row r="1913" spans="3:3" x14ac:dyDescent="0.25">
      <c r="C1913"/>
    </row>
    <row r="1914" spans="3:3" x14ac:dyDescent="0.25">
      <c r="C1914"/>
    </row>
    <row r="1915" spans="3:3" x14ac:dyDescent="0.25">
      <c r="C1915"/>
    </row>
    <row r="1916" spans="3:3" x14ac:dyDescent="0.25">
      <c r="C1916"/>
    </row>
    <row r="1917" spans="3:3" x14ac:dyDescent="0.25">
      <c r="C1917"/>
    </row>
    <row r="1918" spans="3:3" x14ac:dyDescent="0.25">
      <c r="C1918"/>
    </row>
    <row r="1919" spans="3:3" x14ac:dyDescent="0.25">
      <c r="C1919"/>
    </row>
    <row r="1920" spans="3:3" x14ac:dyDescent="0.25">
      <c r="C1920"/>
    </row>
    <row r="1921" spans="3:3" x14ac:dyDescent="0.25">
      <c r="C1921"/>
    </row>
    <row r="1922" spans="3:3" x14ac:dyDescent="0.25">
      <c r="C1922"/>
    </row>
    <row r="1923" spans="3:3" x14ac:dyDescent="0.25">
      <c r="C1923"/>
    </row>
    <row r="1924" spans="3:3" x14ac:dyDescent="0.25">
      <c r="C1924"/>
    </row>
    <row r="1925" spans="3:3" x14ac:dyDescent="0.25">
      <c r="C1925"/>
    </row>
    <row r="1926" spans="3:3" x14ac:dyDescent="0.25">
      <c r="C1926"/>
    </row>
    <row r="1927" spans="3:3" x14ac:dyDescent="0.25">
      <c r="C1927"/>
    </row>
    <row r="1928" spans="3:3" x14ac:dyDescent="0.25">
      <c r="C1928"/>
    </row>
    <row r="1929" spans="3:3" x14ac:dyDescent="0.25">
      <c r="C1929"/>
    </row>
    <row r="1930" spans="3:3" x14ac:dyDescent="0.25">
      <c r="C1930"/>
    </row>
    <row r="1931" spans="3:3" x14ac:dyDescent="0.25">
      <c r="C1931"/>
    </row>
    <row r="1932" spans="3:3" x14ac:dyDescent="0.25">
      <c r="C1932"/>
    </row>
    <row r="1933" spans="3:3" x14ac:dyDescent="0.25">
      <c r="C1933"/>
    </row>
    <row r="1934" spans="3:3" x14ac:dyDescent="0.25">
      <c r="C1934"/>
    </row>
    <row r="1935" spans="3:3" x14ac:dyDescent="0.25">
      <c r="C1935"/>
    </row>
    <row r="1936" spans="3:3" x14ac:dyDescent="0.25">
      <c r="C1936"/>
    </row>
    <row r="1937" spans="1:46" x14ac:dyDescent="0.25">
      <c r="C1937"/>
    </row>
    <row r="1938" spans="1:46" x14ac:dyDescent="0.25">
      <c r="C1938"/>
    </row>
    <row r="1939" spans="1:46" x14ac:dyDescent="0.25">
      <c r="C1939"/>
    </row>
    <row r="1940" spans="1:46" x14ac:dyDescent="0.25">
      <c r="C1940"/>
    </row>
    <row r="1941" spans="1:46" x14ac:dyDescent="0.25">
      <c r="C1941"/>
    </row>
    <row r="1942" spans="1:46" x14ac:dyDescent="0.25">
      <c r="C1942"/>
    </row>
    <row r="1943" spans="1:46" x14ac:dyDescent="0.25">
      <c r="C1943"/>
    </row>
    <row r="1944" spans="1:46" x14ac:dyDescent="0.25">
      <c r="C1944"/>
    </row>
    <row r="1945" spans="1:46" x14ac:dyDescent="0.25">
      <c r="C1945"/>
    </row>
    <row r="1946" spans="1:46" x14ac:dyDescent="0.25">
      <c r="C1946"/>
    </row>
    <row r="1947" spans="1:46" x14ac:dyDescent="0.25">
      <c r="C1947"/>
    </row>
    <row r="1948" spans="1:46" x14ac:dyDescent="0.25">
      <c r="C1948"/>
    </row>
    <row r="1949" spans="1:46" x14ac:dyDescent="0.25">
      <c r="C1949"/>
    </row>
    <row r="1950" spans="1:46" s="26" customFormat="1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</row>
    <row r="1951" spans="1:46" x14ac:dyDescent="0.25">
      <c r="C1951"/>
    </row>
    <row r="1952" spans="1:46" x14ac:dyDescent="0.25">
      <c r="C1952"/>
    </row>
    <row r="1953" spans="3:3" x14ac:dyDescent="0.25">
      <c r="C1953"/>
    </row>
    <row r="1954" spans="3:3" x14ac:dyDescent="0.25">
      <c r="C1954"/>
    </row>
    <row r="1955" spans="3:3" x14ac:dyDescent="0.25">
      <c r="C1955"/>
    </row>
    <row r="1956" spans="3:3" x14ac:dyDescent="0.25">
      <c r="C1956"/>
    </row>
    <row r="1957" spans="3:3" x14ac:dyDescent="0.25">
      <c r="C1957"/>
    </row>
    <row r="1958" spans="3:3" x14ac:dyDescent="0.25">
      <c r="C1958"/>
    </row>
    <row r="1959" spans="3:3" x14ac:dyDescent="0.25">
      <c r="C1959"/>
    </row>
    <row r="1960" spans="3:3" x14ac:dyDescent="0.25">
      <c r="C1960"/>
    </row>
    <row r="1961" spans="3:3" x14ac:dyDescent="0.25">
      <c r="C1961"/>
    </row>
    <row r="1962" spans="3:3" x14ac:dyDescent="0.25">
      <c r="C1962"/>
    </row>
    <row r="1963" spans="3:3" x14ac:dyDescent="0.25">
      <c r="C1963"/>
    </row>
    <row r="1964" spans="3:3" x14ac:dyDescent="0.25">
      <c r="C1964"/>
    </row>
    <row r="1965" spans="3:3" x14ac:dyDescent="0.25">
      <c r="C1965"/>
    </row>
    <row r="1966" spans="3:3" x14ac:dyDescent="0.25">
      <c r="C1966"/>
    </row>
    <row r="1967" spans="3:3" x14ac:dyDescent="0.25">
      <c r="C1967"/>
    </row>
    <row r="1968" spans="3:3" x14ac:dyDescent="0.25">
      <c r="C1968"/>
    </row>
    <row r="1969" spans="3:3" x14ac:dyDescent="0.25">
      <c r="C1969"/>
    </row>
    <row r="1970" spans="3:3" x14ac:dyDescent="0.25">
      <c r="C1970"/>
    </row>
    <row r="1971" spans="3:3" x14ac:dyDescent="0.25">
      <c r="C1971"/>
    </row>
    <row r="1972" spans="3:3" x14ac:dyDescent="0.25">
      <c r="C1972"/>
    </row>
    <row r="1973" spans="3:3" x14ac:dyDescent="0.25">
      <c r="C1973"/>
    </row>
    <row r="1974" spans="3:3" x14ac:dyDescent="0.25">
      <c r="C1974"/>
    </row>
    <row r="1975" spans="3:3" x14ac:dyDescent="0.25">
      <c r="C1975"/>
    </row>
    <row r="1976" spans="3:3" x14ac:dyDescent="0.25">
      <c r="C1976"/>
    </row>
    <row r="1977" spans="3:3" x14ac:dyDescent="0.25">
      <c r="C1977"/>
    </row>
    <row r="1978" spans="3:3" x14ac:dyDescent="0.25">
      <c r="C1978"/>
    </row>
    <row r="1979" spans="3:3" x14ac:dyDescent="0.25">
      <c r="C1979"/>
    </row>
    <row r="1980" spans="3:3" x14ac:dyDescent="0.25">
      <c r="C1980"/>
    </row>
    <row r="1981" spans="3:3" x14ac:dyDescent="0.25">
      <c r="C1981"/>
    </row>
    <row r="1982" spans="3:3" x14ac:dyDescent="0.25">
      <c r="C1982"/>
    </row>
    <row r="1983" spans="3:3" x14ac:dyDescent="0.25">
      <c r="C1983"/>
    </row>
    <row r="1984" spans="3:3" x14ac:dyDescent="0.25">
      <c r="C1984"/>
    </row>
    <row r="1985" spans="3:3" x14ac:dyDescent="0.25">
      <c r="C1985"/>
    </row>
    <row r="1986" spans="3:3" x14ac:dyDescent="0.25">
      <c r="C1986"/>
    </row>
    <row r="1987" spans="3:3" x14ac:dyDescent="0.25">
      <c r="C1987"/>
    </row>
    <row r="1988" spans="3:3" x14ac:dyDescent="0.25">
      <c r="C1988"/>
    </row>
    <row r="1989" spans="3:3" x14ac:dyDescent="0.25">
      <c r="C1989"/>
    </row>
    <row r="1990" spans="3:3" x14ac:dyDescent="0.25">
      <c r="C1990"/>
    </row>
    <row r="1991" spans="3:3" x14ac:dyDescent="0.25">
      <c r="C1991"/>
    </row>
    <row r="1992" spans="3:3" x14ac:dyDescent="0.25">
      <c r="C1992"/>
    </row>
    <row r="1993" spans="3:3" x14ac:dyDescent="0.25">
      <c r="C1993"/>
    </row>
    <row r="1994" spans="3:3" x14ac:dyDescent="0.25">
      <c r="C1994"/>
    </row>
    <row r="1995" spans="3:3" x14ac:dyDescent="0.25">
      <c r="C1995"/>
    </row>
    <row r="1996" spans="3:3" x14ac:dyDescent="0.25">
      <c r="C1996"/>
    </row>
    <row r="1997" spans="3:3" x14ac:dyDescent="0.25">
      <c r="C1997"/>
    </row>
    <row r="1998" spans="3:3" x14ac:dyDescent="0.25">
      <c r="C1998"/>
    </row>
    <row r="1999" spans="3:3" x14ac:dyDescent="0.25">
      <c r="C1999"/>
    </row>
    <row r="2000" spans="3:3" x14ac:dyDescent="0.25">
      <c r="C2000"/>
    </row>
    <row r="2001" spans="3:3" x14ac:dyDescent="0.25">
      <c r="C2001"/>
    </row>
    <row r="2002" spans="3:3" x14ac:dyDescent="0.25">
      <c r="C2002"/>
    </row>
    <row r="2003" spans="3:3" x14ac:dyDescent="0.25">
      <c r="C2003"/>
    </row>
    <row r="2004" spans="3:3" x14ac:dyDescent="0.25">
      <c r="C2004"/>
    </row>
    <row r="2005" spans="3:3" x14ac:dyDescent="0.25">
      <c r="C2005"/>
    </row>
    <row r="2006" spans="3:3" x14ac:dyDescent="0.25">
      <c r="C2006"/>
    </row>
    <row r="2007" spans="3:3" x14ac:dyDescent="0.25">
      <c r="C2007"/>
    </row>
    <row r="2008" spans="3:3" x14ac:dyDescent="0.25">
      <c r="C2008"/>
    </row>
    <row r="2009" spans="3:3" x14ac:dyDescent="0.25">
      <c r="C2009"/>
    </row>
    <row r="2010" spans="3:3" x14ac:dyDescent="0.25">
      <c r="C2010"/>
    </row>
    <row r="2011" spans="3:3" x14ac:dyDescent="0.25">
      <c r="C2011"/>
    </row>
    <row r="2012" spans="3:3" x14ac:dyDescent="0.25">
      <c r="C2012"/>
    </row>
    <row r="2013" spans="3:3" x14ac:dyDescent="0.25">
      <c r="C2013"/>
    </row>
    <row r="2014" spans="3:3" x14ac:dyDescent="0.25">
      <c r="C2014"/>
    </row>
    <row r="2015" spans="3:3" x14ac:dyDescent="0.25">
      <c r="C2015"/>
    </row>
    <row r="2016" spans="3:3" x14ac:dyDescent="0.25">
      <c r="C2016"/>
    </row>
    <row r="2017" spans="3:3" x14ac:dyDescent="0.25">
      <c r="C2017"/>
    </row>
    <row r="2018" spans="3:3" x14ac:dyDescent="0.25">
      <c r="C2018"/>
    </row>
    <row r="2019" spans="3:3" x14ac:dyDescent="0.25">
      <c r="C2019"/>
    </row>
    <row r="2020" spans="3:3" x14ac:dyDescent="0.25">
      <c r="C2020"/>
    </row>
    <row r="2021" spans="3:3" x14ac:dyDescent="0.25">
      <c r="C2021"/>
    </row>
    <row r="2022" spans="3:3" x14ac:dyDescent="0.25">
      <c r="C2022"/>
    </row>
    <row r="2023" spans="3:3" x14ac:dyDescent="0.25">
      <c r="C2023"/>
    </row>
    <row r="2024" spans="3:3" x14ac:dyDescent="0.25">
      <c r="C2024"/>
    </row>
    <row r="2025" spans="3:3" x14ac:dyDescent="0.25">
      <c r="C2025"/>
    </row>
    <row r="2026" spans="3:3" x14ac:dyDescent="0.25">
      <c r="C2026"/>
    </row>
    <row r="2027" spans="3:3" x14ac:dyDescent="0.25">
      <c r="C2027"/>
    </row>
    <row r="2028" spans="3:3" x14ac:dyDescent="0.25">
      <c r="C2028"/>
    </row>
    <row r="2029" spans="3:3" x14ac:dyDescent="0.25">
      <c r="C2029"/>
    </row>
    <row r="2030" spans="3:3" x14ac:dyDescent="0.25">
      <c r="C2030"/>
    </row>
    <row r="2031" spans="3:3" x14ac:dyDescent="0.25">
      <c r="C2031"/>
    </row>
    <row r="2032" spans="3:3" x14ac:dyDescent="0.25">
      <c r="C2032"/>
    </row>
    <row r="2033" spans="1:46" x14ac:dyDescent="0.25">
      <c r="C2033"/>
    </row>
    <row r="2034" spans="1:46" x14ac:dyDescent="0.25">
      <c r="C2034"/>
    </row>
    <row r="2035" spans="1:46" x14ac:dyDescent="0.25">
      <c r="C2035"/>
    </row>
    <row r="2036" spans="1:46" x14ac:dyDescent="0.25">
      <c r="C2036"/>
    </row>
    <row r="2037" spans="1:46" x14ac:dyDescent="0.25">
      <c r="C2037"/>
    </row>
    <row r="2038" spans="1:46" x14ac:dyDescent="0.25">
      <c r="C2038"/>
    </row>
    <row r="2039" spans="1:46" x14ac:dyDescent="0.25">
      <c r="C2039"/>
    </row>
    <row r="2040" spans="1:46" x14ac:dyDescent="0.25">
      <c r="C2040"/>
    </row>
    <row r="2041" spans="1:46" x14ac:dyDescent="0.25">
      <c r="C2041"/>
    </row>
    <row r="2042" spans="1:46" s="22" customFormat="1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</row>
    <row r="2043" spans="1:46" x14ac:dyDescent="0.25">
      <c r="C2043"/>
    </row>
    <row r="2044" spans="1:46" x14ac:dyDescent="0.25">
      <c r="C2044"/>
    </row>
    <row r="2045" spans="1:46" x14ac:dyDescent="0.25">
      <c r="C2045"/>
    </row>
    <row r="2046" spans="1:46" x14ac:dyDescent="0.25">
      <c r="C2046"/>
    </row>
    <row r="2047" spans="1:46" x14ac:dyDescent="0.25">
      <c r="C2047"/>
    </row>
    <row r="2048" spans="1:46" x14ac:dyDescent="0.25">
      <c r="C2048"/>
    </row>
    <row r="2049" spans="3:3" x14ac:dyDescent="0.25">
      <c r="C2049"/>
    </row>
    <row r="2050" spans="3:3" x14ac:dyDescent="0.25">
      <c r="C2050"/>
    </row>
    <row r="2051" spans="3:3" x14ac:dyDescent="0.25">
      <c r="C2051"/>
    </row>
    <row r="2052" spans="3:3" x14ac:dyDescent="0.25">
      <c r="C2052"/>
    </row>
    <row r="2053" spans="3:3" x14ac:dyDescent="0.25">
      <c r="C2053"/>
    </row>
    <row r="2054" spans="3:3" x14ac:dyDescent="0.25">
      <c r="C2054"/>
    </row>
    <row r="2055" spans="3:3" x14ac:dyDescent="0.25">
      <c r="C2055"/>
    </row>
    <row r="2056" spans="3:3" x14ac:dyDescent="0.25">
      <c r="C2056"/>
    </row>
    <row r="2057" spans="3:3" x14ac:dyDescent="0.25">
      <c r="C2057"/>
    </row>
    <row r="2058" spans="3:3" x14ac:dyDescent="0.25">
      <c r="C2058"/>
    </row>
    <row r="2059" spans="3:3" x14ac:dyDescent="0.25">
      <c r="C2059"/>
    </row>
    <row r="2060" spans="3:3" x14ac:dyDescent="0.25">
      <c r="C2060"/>
    </row>
    <row r="2061" spans="3:3" x14ac:dyDescent="0.25">
      <c r="C2061"/>
    </row>
    <row r="2062" spans="3:3" x14ac:dyDescent="0.25">
      <c r="C2062"/>
    </row>
    <row r="2063" spans="3:3" x14ac:dyDescent="0.25">
      <c r="C2063"/>
    </row>
    <row r="2064" spans="3:3" x14ac:dyDescent="0.25">
      <c r="C2064"/>
    </row>
    <row r="2065" spans="3:3" x14ac:dyDescent="0.25">
      <c r="C2065"/>
    </row>
    <row r="2066" spans="3:3" x14ac:dyDescent="0.25">
      <c r="C2066"/>
    </row>
    <row r="2067" spans="3:3" x14ac:dyDescent="0.25">
      <c r="C2067"/>
    </row>
    <row r="2068" spans="3:3" x14ac:dyDescent="0.25">
      <c r="C2068"/>
    </row>
    <row r="2069" spans="3:3" x14ac:dyDescent="0.25">
      <c r="C2069"/>
    </row>
    <row r="2070" spans="3:3" x14ac:dyDescent="0.25">
      <c r="C2070"/>
    </row>
    <row r="2071" spans="3:3" x14ac:dyDescent="0.25">
      <c r="C2071"/>
    </row>
    <row r="2072" spans="3:3" x14ac:dyDescent="0.25">
      <c r="C2072"/>
    </row>
    <row r="2073" spans="3:3" x14ac:dyDescent="0.25">
      <c r="C2073"/>
    </row>
    <row r="2074" spans="3:3" x14ac:dyDescent="0.25">
      <c r="C2074"/>
    </row>
    <row r="2075" spans="3:3" x14ac:dyDescent="0.25">
      <c r="C2075"/>
    </row>
    <row r="2076" spans="3:3" x14ac:dyDescent="0.25">
      <c r="C2076"/>
    </row>
    <row r="2077" spans="3:3" x14ac:dyDescent="0.25">
      <c r="C2077"/>
    </row>
    <row r="2078" spans="3:3" x14ac:dyDescent="0.25">
      <c r="C2078"/>
    </row>
    <row r="2079" spans="3:3" x14ac:dyDescent="0.25">
      <c r="C2079"/>
    </row>
    <row r="2080" spans="3:3" x14ac:dyDescent="0.25">
      <c r="C2080"/>
    </row>
    <row r="2081" spans="3:3" x14ac:dyDescent="0.25">
      <c r="C2081"/>
    </row>
    <row r="2082" spans="3:3" x14ac:dyDescent="0.25">
      <c r="C2082"/>
    </row>
    <row r="2083" spans="3:3" x14ac:dyDescent="0.25">
      <c r="C2083"/>
    </row>
    <row r="2084" spans="3:3" x14ac:dyDescent="0.25">
      <c r="C2084"/>
    </row>
    <row r="2085" spans="3:3" x14ac:dyDescent="0.25">
      <c r="C2085"/>
    </row>
    <row r="2086" spans="3:3" x14ac:dyDescent="0.25">
      <c r="C2086"/>
    </row>
    <row r="2087" spans="3:3" x14ac:dyDescent="0.25">
      <c r="C2087"/>
    </row>
    <row r="2088" spans="3:3" x14ac:dyDescent="0.25">
      <c r="C2088"/>
    </row>
    <row r="2089" spans="3:3" x14ac:dyDescent="0.25">
      <c r="C2089"/>
    </row>
    <row r="2090" spans="3:3" x14ac:dyDescent="0.25">
      <c r="C2090"/>
    </row>
    <row r="2091" spans="3:3" x14ac:dyDescent="0.25">
      <c r="C2091"/>
    </row>
    <row r="2092" spans="3:3" x14ac:dyDescent="0.25">
      <c r="C2092"/>
    </row>
    <row r="2093" spans="3:3" x14ac:dyDescent="0.25">
      <c r="C2093"/>
    </row>
    <row r="2094" spans="3:3" x14ac:dyDescent="0.25">
      <c r="C2094"/>
    </row>
    <row r="2095" spans="3:3" x14ac:dyDescent="0.25">
      <c r="C2095"/>
    </row>
    <row r="2096" spans="3:3" x14ac:dyDescent="0.25">
      <c r="C2096"/>
    </row>
    <row r="2097" spans="3:3" x14ac:dyDescent="0.25">
      <c r="C2097"/>
    </row>
    <row r="2098" spans="3:3" x14ac:dyDescent="0.25">
      <c r="C2098"/>
    </row>
    <row r="2099" spans="3:3" x14ac:dyDescent="0.25">
      <c r="C2099"/>
    </row>
    <row r="2100" spans="3:3" x14ac:dyDescent="0.25">
      <c r="C2100"/>
    </row>
    <row r="2101" spans="3:3" x14ac:dyDescent="0.25">
      <c r="C2101"/>
    </row>
    <row r="2102" spans="3:3" x14ac:dyDescent="0.25">
      <c r="C2102"/>
    </row>
    <row r="2103" spans="3:3" x14ac:dyDescent="0.25">
      <c r="C2103"/>
    </row>
    <row r="2104" spans="3:3" x14ac:dyDescent="0.25">
      <c r="C2104"/>
    </row>
    <row r="2105" spans="3:3" x14ac:dyDescent="0.25">
      <c r="C2105"/>
    </row>
    <row r="2106" spans="3:3" x14ac:dyDescent="0.25">
      <c r="C2106"/>
    </row>
    <row r="2107" spans="3:3" x14ac:dyDescent="0.25">
      <c r="C2107"/>
    </row>
    <row r="2108" spans="3:3" x14ac:dyDescent="0.25">
      <c r="C2108"/>
    </row>
    <row r="2109" spans="3:3" x14ac:dyDescent="0.25">
      <c r="C2109"/>
    </row>
    <row r="2110" spans="3:3" x14ac:dyDescent="0.25">
      <c r="C2110"/>
    </row>
    <row r="2111" spans="3:3" x14ac:dyDescent="0.25">
      <c r="C2111"/>
    </row>
    <row r="2112" spans="3:3" x14ac:dyDescent="0.25">
      <c r="C2112"/>
    </row>
    <row r="2113" spans="1:46" x14ac:dyDescent="0.25">
      <c r="C2113"/>
    </row>
    <row r="2114" spans="1:46" x14ac:dyDescent="0.25">
      <c r="C2114"/>
    </row>
    <row r="2115" spans="1:46" x14ac:dyDescent="0.25">
      <c r="C2115"/>
    </row>
    <row r="2116" spans="1:46" x14ac:dyDescent="0.25">
      <c r="C2116"/>
    </row>
    <row r="2117" spans="1:46" x14ac:dyDescent="0.25">
      <c r="C2117"/>
    </row>
    <row r="2118" spans="1:46" x14ac:dyDescent="0.25">
      <c r="C2118"/>
    </row>
    <row r="2119" spans="1:46" x14ac:dyDescent="0.25">
      <c r="C2119"/>
    </row>
    <row r="2120" spans="1:46" x14ac:dyDescent="0.25">
      <c r="C2120"/>
    </row>
    <row r="2121" spans="1:46" x14ac:dyDescent="0.25">
      <c r="C2121"/>
    </row>
    <row r="2122" spans="1:46" x14ac:dyDescent="0.25">
      <c r="C2122"/>
    </row>
    <row r="2123" spans="1:46" s="22" customFormat="1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</row>
    <row r="2124" spans="1:46" x14ac:dyDescent="0.25">
      <c r="C2124"/>
    </row>
    <row r="2125" spans="1:46" x14ac:dyDescent="0.25">
      <c r="C2125"/>
    </row>
    <row r="2126" spans="1:46" x14ac:dyDescent="0.25">
      <c r="C2126"/>
    </row>
    <row r="2127" spans="1:46" x14ac:dyDescent="0.25">
      <c r="C2127"/>
    </row>
    <row r="2128" spans="1:46" x14ac:dyDescent="0.25">
      <c r="C2128"/>
    </row>
    <row r="2129" spans="3:3" x14ac:dyDescent="0.25">
      <c r="C2129"/>
    </row>
    <row r="2130" spans="3:3" x14ac:dyDescent="0.25">
      <c r="C2130"/>
    </row>
    <row r="2131" spans="3:3" x14ac:dyDescent="0.25">
      <c r="C2131"/>
    </row>
    <row r="2132" spans="3:3" x14ac:dyDescent="0.25">
      <c r="C2132"/>
    </row>
    <row r="2133" spans="3:3" x14ac:dyDescent="0.25">
      <c r="C2133"/>
    </row>
    <row r="2134" spans="3:3" x14ac:dyDescent="0.25">
      <c r="C2134"/>
    </row>
    <row r="2135" spans="3:3" x14ac:dyDescent="0.25">
      <c r="C2135"/>
    </row>
    <row r="2136" spans="3:3" x14ac:dyDescent="0.25">
      <c r="C2136"/>
    </row>
    <row r="2137" spans="3:3" x14ac:dyDescent="0.25">
      <c r="C2137"/>
    </row>
    <row r="2138" spans="3:3" x14ac:dyDescent="0.25">
      <c r="C2138"/>
    </row>
    <row r="2139" spans="3:3" x14ac:dyDescent="0.25">
      <c r="C2139"/>
    </row>
    <row r="2140" spans="3:3" x14ac:dyDescent="0.25">
      <c r="C2140"/>
    </row>
    <row r="2141" spans="3:3" x14ac:dyDescent="0.25">
      <c r="C2141"/>
    </row>
    <row r="2142" spans="3:3" x14ac:dyDescent="0.25">
      <c r="C2142"/>
    </row>
    <row r="2143" spans="3:3" x14ac:dyDescent="0.25">
      <c r="C2143"/>
    </row>
    <row r="2144" spans="3:3" x14ac:dyDescent="0.25">
      <c r="C2144"/>
    </row>
    <row r="2145" spans="3:3" x14ac:dyDescent="0.25">
      <c r="C2145"/>
    </row>
    <row r="2146" spans="3:3" x14ac:dyDescent="0.25">
      <c r="C2146"/>
    </row>
    <row r="2147" spans="3:3" x14ac:dyDescent="0.25">
      <c r="C2147"/>
    </row>
    <row r="2148" spans="3:3" x14ac:dyDescent="0.25">
      <c r="C2148"/>
    </row>
    <row r="2149" spans="3:3" x14ac:dyDescent="0.25">
      <c r="C2149"/>
    </row>
    <row r="2150" spans="3:3" x14ac:dyDescent="0.25">
      <c r="C2150"/>
    </row>
    <row r="2151" spans="3:3" x14ac:dyDescent="0.25">
      <c r="C2151"/>
    </row>
    <row r="2152" spans="3:3" x14ac:dyDescent="0.25">
      <c r="C2152"/>
    </row>
    <row r="2153" spans="3:3" x14ac:dyDescent="0.25">
      <c r="C2153"/>
    </row>
    <row r="2154" spans="3:3" x14ac:dyDescent="0.25">
      <c r="C2154"/>
    </row>
    <row r="2155" spans="3:3" x14ac:dyDescent="0.25">
      <c r="C2155"/>
    </row>
    <row r="2156" spans="3:3" x14ac:dyDescent="0.25">
      <c r="C2156"/>
    </row>
    <row r="2157" spans="3:3" x14ac:dyDescent="0.25">
      <c r="C2157"/>
    </row>
    <row r="2158" spans="3:3" x14ac:dyDescent="0.25">
      <c r="C2158"/>
    </row>
    <row r="2159" spans="3:3" x14ac:dyDescent="0.25">
      <c r="C2159"/>
    </row>
    <row r="2160" spans="3:3" x14ac:dyDescent="0.25">
      <c r="C2160"/>
    </row>
    <row r="2161" spans="3:3" x14ac:dyDescent="0.25">
      <c r="C2161"/>
    </row>
    <row r="2162" spans="3:3" x14ac:dyDescent="0.25">
      <c r="C2162"/>
    </row>
    <row r="2163" spans="3:3" x14ac:dyDescent="0.25">
      <c r="C2163"/>
    </row>
    <row r="2164" spans="3:3" x14ac:dyDescent="0.25">
      <c r="C2164"/>
    </row>
    <row r="2165" spans="3:3" x14ac:dyDescent="0.25">
      <c r="C2165"/>
    </row>
    <row r="2166" spans="3:3" x14ac:dyDescent="0.25">
      <c r="C2166"/>
    </row>
    <row r="2167" spans="3:3" x14ac:dyDescent="0.25">
      <c r="C2167"/>
    </row>
    <row r="2168" spans="3:3" x14ac:dyDescent="0.25">
      <c r="C2168"/>
    </row>
    <row r="2169" spans="3:3" x14ac:dyDescent="0.25">
      <c r="C2169"/>
    </row>
    <row r="2170" spans="3:3" x14ac:dyDescent="0.25">
      <c r="C2170"/>
    </row>
    <row r="2171" spans="3:3" x14ac:dyDescent="0.25">
      <c r="C2171"/>
    </row>
    <row r="2172" spans="3:3" x14ac:dyDescent="0.25">
      <c r="C2172"/>
    </row>
    <row r="2173" spans="3:3" x14ac:dyDescent="0.25">
      <c r="C2173"/>
    </row>
    <row r="2174" spans="3:3" x14ac:dyDescent="0.25">
      <c r="C2174"/>
    </row>
    <row r="2175" spans="3:3" x14ac:dyDescent="0.25">
      <c r="C2175"/>
    </row>
    <row r="2176" spans="3:3" x14ac:dyDescent="0.25">
      <c r="C2176"/>
    </row>
    <row r="2177" spans="3:3" x14ac:dyDescent="0.25">
      <c r="C2177"/>
    </row>
    <row r="2178" spans="3:3" x14ac:dyDescent="0.25">
      <c r="C2178"/>
    </row>
    <row r="2179" spans="3:3" x14ac:dyDescent="0.25">
      <c r="C2179"/>
    </row>
    <row r="2180" spans="3:3" x14ac:dyDescent="0.25">
      <c r="C2180"/>
    </row>
    <row r="2181" spans="3:3" x14ac:dyDescent="0.25">
      <c r="C2181"/>
    </row>
    <row r="2182" spans="3:3" x14ac:dyDescent="0.25">
      <c r="C2182"/>
    </row>
    <row r="2183" spans="3:3" x14ac:dyDescent="0.25">
      <c r="C2183"/>
    </row>
    <row r="2184" spans="3:3" x14ac:dyDescent="0.25">
      <c r="C2184"/>
    </row>
    <row r="2185" spans="3:3" x14ac:dyDescent="0.25">
      <c r="C2185"/>
    </row>
    <row r="2186" spans="3:3" x14ac:dyDescent="0.25">
      <c r="C2186"/>
    </row>
    <row r="2187" spans="3:3" x14ac:dyDescent="0.25">
      <c r="C2187"/>
    </row>
    <row r="2188" spans="3:3" x14ac:dyDescent="0.25">
      <c r="C2188"/>
    </row>
    <row r="2189" spans="3:3" x14ac:dyDescent="0.25">
      <c r="C2189"/>
    </row>
    <row r="2190" spans="3:3" x14ac:dyDescent="0.25">
      <c r="C2190"/>
    </row>
    <row r="2191" spans="3:3" x14ac:dyDescent="0.25">
      <c r="C2191"/>
    </row>
    <row r="2192" spans="3:3" x14ac:dyDescent="0.25">
      <c r="C2192"/>
    </row>
    <row r="2193" spans="3:3" x14ac:dyDescent="0.25">
      <c r="C2193"/>
    </row>
    <row r="2194" spans="3:3" x14ac:dyDescent="0.25">
      <c r="C2194"/>
    </row>
    <row r="2195" spans="3:3" x14ac:dyDescent="0.25">
      <c r="C2195"/>
    </row>
    <row r="2196" spans="3:3" x14ac:dyDescent="0.25">
      <c r="C2196"/>
    </row>
    <row r="2197" spans="3:3" x14ac:dyDescent="0.25">
      <c r="C2197"/>
    </row>
    <row r="2198" spans="3:3" x14ac:dyDescent="0.25">
      <c r="C2198"/>
    </row>
    <row r="2199" spans="3:3" x14ac:dyDescent="0.25">
      <c r="C2199"/>
    </row>
    <row r="2200" spans="3:3" x14ac:dyDescent="0.25">
      <c r="C2200"/>
    </row>
    <row r="2201" spans="3:3" x14ac:dyDescent="0.25">
      <c r="C2201"/>
    </row>
    <row r="2202" spans="3:3" x14ac:dyDescent="0.25">
      <c r="C2202"/>
    </row>
    <row r="2203" spans="3:3" x14ac:dyDescent="0.25">
      <c r="C2203"/>
    </row>
    <row r="2204" spans="3:3" x14ac:dyDescent="0.25">
      <c r="C2204"/>
    </row>
    <row r="2205" spans="3:3" x14ac:dyDescent="0.25">
      <c r="C2205"/>
    </row>
    <row r="2206" spans="3:3" x14ac:dyDescent="0.25">
      <c r="C2206"/>
    </row>
    <row r="2207" spans="3:3" x14ac:dyDescent="0.25">
      <c r="C2207"/>
    </row>
    <row r="2208" spans="3:3" x14ac:dyDescent="0.25">
      <c r="C2208"/>
    </row>
    <row r="2209" spans="3:3" x14ac:dyDescent="0.25">
      <c r="C2209"/>
    </row>
    <row r="2210" spans="3:3" x14ac:dyDescent="0.25">
      <c r="C2210"/>
    </row>
    <row r="2211" spans="3:3" x14ac:dyDescent="0.25">
      <c r="C2211"/>
    </row>
    <row r="2212" spans="3:3" x14ac:dyDescent="0.25">
      <c r="C2212"/>
    </row>
    <row r="2213" spans="3:3" x14ac:dyDescent="0.25">
      <c r="C2213"/>
    </row>
    <row r="2214" spans="3:3" x14ac:dyDescent="0.25">
      <c r="C2214"/>
    </row>
    <row r="2215" spans="3:3" x14ac:dyDescent="0.25">
      <c r="C2215"/>
    </row>
    <row r="2216" spans="3:3" x14ac:dyDescent="0.25">
      <c r="C2216"/>
    </row>
    <row r="2217" spans="3:3" x14ac:dyDescent="0.25">
      <c r="C2217"/>
    </row>
    <row r="2218" spans="3:3" x14ac:dyDescent="0.25">
      <c r="C2218"/>
    </row>
    <row r="2219" spans="3:3" x14ac:dyDescent="0.25">
      <c r="C2219"/>
    </row>
    <row r="2220" spans="3:3" x14ac:dyDescent="0.25">
      <c r="C2220"/>
    </row>
    <row r="2221" spans="3:3" x14ac:dyDescent="0.25">
      <c r="C2221"/>
    </row>
    <row r="2222" spans="3:3" x14ac:dyDescent="0.25">
      <c r="C2222"/>
    </row>
    <row r="2223" spans="3:3" x14ac:dyDescent="0.25">
      <c r="C2223"/>
    </row>
    <row r="2224" spans="3:3" x14ac:dyDescent="0.25">
      <c r="C2224"/>
    </row>
    <row r="2225" spans="3:3" x14ac:dyDescent="0.25">
      <c r="C2225"/>
    </row>
    <row r="2226" spans="3:3" x14ac:dyDescent="0.25">
      <c r="C2226"/>
    </row>
    <row r="2227" spans="3:3" x14ac:dyDescent="0.25">
      <c r="C2227"/>
    </row>
    <row r="2228" spans="3:3" x14ac:dyDescent="0.25">
      <c r="C2228"/>
    </row>
    <row r="2229" spans="3:3" x14ac:dyDescent="0.25">
      <c r="C2229"/>
    </row>
    <row r="2230" spans="3:3" x14ac:dyDescent="0.25">
      <c r="C2230"/>
    </row>
    <row r="2231" spans="3:3" x14ac:dyDescent="0.25">
      <c r="C2231"/>
    </row>
    <row r="2232" spans="3:3" x14ac:dyDescent="0.25">
      <c r="C2232"/>
    </row>
    <row r="2233" spans="3:3" x14ac:dyDescent="0.25">
      <c r="C2233"/>
    </row>
    <row r="2234" spans="3:3" x14ac:dyDescent="0.25">
      <c r="C2234"/>
    </row>
    <row r="2235" spans="3:3" x14ac:dyDescent="0.25">
      <c r="C2235"/>
    </row>
    <row r="2236" spans="3:3" x14ac:dyDescent="0.25">
      <c r="C2236"/>
    </row>
    <row r="2237" spans="3:3" x14ac:dyDescent="0.25">
      <c r="C2237"/>
    </row>
    <row r="2238" spans="3:3" x14ac:dyDescent="0.25">
      <c r="C2238"/>
    </row>
    <row r="2239" spans="3:3" x14ac:dyDescent="0.25">
      <c r="C2239"/>
    </row>
    <row r="2240" spans="3:3" x14ac:dyDescent="0.25">
      <c r="C2240"/>
    </row>
    <row r="2241" spans="1:46" x14ac:dyDescent="0.25">
      <c r="C2241"/>
    </row>
    <row r="2242" spans="1:46" x14ac:dyDescent="0.25">
      <c r="C2242"/>
    </row>
    <row r="2243" spans="1:46" x14ac:dyDescent="0.25">
      <c r="C2243"/>
    </row>
    <row r="2244" spans="1:46" x14ac:dyDescent="0.25">
      <c r="C2244"/>
    </row>
    <row r="2245" spans="1:46" x14ac:dyDescent="0.25">
      <c r="C2245"/>
    </row>
    <row r="2246" spans="1:46" x14ac:dyDescent="0.25">
      <c r="C2246"/>
    </row>
    <row r="2247" spans="1:46" x14ac:dyDescent="0.25">
      <c r="C2247"/>
    </row>
    <row r="2248" spans="1:46" s="22" customFormat="1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</row>
    <row r="2249" spans="1:46" x14ac:dyDescent="0.25">
      <c r="C2249"/>
    </row>
    <row r="2250" spans="1:46" x14ac:dyDescent="0.25">
      <c r="C2250"/>
    </row>
    <row r="2251" spans="1:46" x14ac:dyDescent="0.25">
      <c r="C2251"/>
    </row>
    <row r="2252" spans="1:46" x14ac:dyDescent="0.25">
      <c r="C2252"/>
    </row>
    <row r="2253" spans="1:46" x14ac:dyDescent="0.25">
      <c r="C2253"/>
    </row>
    <row r="2254" spans="1:46" x14ac:dyDescent="0.25">
      <c r="C2254"/>
    </row>
    <row r="2255" spans="1:46" x14ac:dyDescent="0.25">
      <c r="C2255"/>
    </row>
    <row r="2256" spans="1:46" x14ac:dyDescent="0.25">
      <c r="C2256"/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  <row r="2284" spans="3:3" x14ac:dyDescent="0.25">
      <c r="C2284"/>
    </row>
    <row r="2285" spans="3:3" x14ac:dyDescent="0.25">
      <c r="C2285"/>
    </row>
    <row r="2286" spans="3:3" x14ac:dyDescent="0.25">
      <c r="C2286"/>
    </row>
    <row r="2287" spans="3:3" x14ac:dyDescent="0.25">
      <c r="C2287"/>
    </row>
    <row r="2288" spans="3:3" x14ac:dyDescent="0.25">
      <c r="C2288"/>
    </row>
    <row r="2289" spans="3:3" x14ac:dyDescent="0.25">
      <c r="C2289"/>
    </row>
    <row r="2290" spans="3:3" x14ac:dyDescent="0.25">
      <c r="C2290"/>
    </row>
    <row r="2291" spans="3:3" x14ac:dyDescent="0.25">
      <c r="C2291"/>
    </row>
    <row r="2292" spans="3:3" x14ac:dyDescent="0.25">
      <c r="C2292"/>
    </row>
    <row r="2293" spans="3:3" x14ac:dyDescent="0.25">
      <c r="C2293"/>
    </row>
    <row r="2294" spans="3:3" x14ac:dyDescent="0.25">
      <c r="C2294"/>
    </row>
    <row r="2295" spans="3:3" x14ac:dyDescent="0.25">
      <c r="C2295"/>
    </row>
    <row r="2296" spans="3:3" x14ac:dyDescent="0.25">
      <c r="C2296"/>
    </row>
    <row r="2297" spans="3:3" x14ac:dyDescent="0.25">
      <c r="C2297"/>
    </row>
    <row r="2298" spans="3:3" x14ac:dyDescent="0.25">
      <c r="C2298"/>
    </row>
    <row r="2299" spans="3:3" x14ac:dyDescent="0.25">
      <c r="C2299"/>
    </row>
    <row r="2300" spans="3:3" x14ac:dyDescent="0.25">
      <c r="C2300"/>
    </row>
    <row r="2301" spans="3:3" x14ac:dyDescent="0.25">
      <c r="C2301"/>
    </row>
    <row r="2302" spans="3:3" x14ac:dyDescent="0.25">
      <c r="C2302"/>
    </row>
    <row r="2303" spans="3:3" x14ac:dyDescent="0.25">
      <c r="C2303"/>
    </row>
    <row r="2304" spans="3:3" x14ac:dyDescent="0.25">
      <c r="C2304"/>
    </row>
    <row r="2305" spans="3:3" x14ac:dyDescent="0.25">
      <c r="C2305"/>
    </row>
    <row r="2306" spans="3:3" x14ac:dyDescent="0.25">
      <c r="C2306"/>
    </row>
    <row r="2307" spans="3:3" x14ac:dyDescent="0.25">
      <c r="C2307"/>
    </row>
    <row r="2308" spans="3:3" x14ac:dyDescent="0.25">
      <c r="C2308"/>
    </row>
    <row r="2309" spans="3:3" x14ac:dyDescent="0.25">
      <c r="C2309"/>
    </row>
    <row r="2310" spans="3:3" x14ac:dyDescent="0.25">
      <c r="C2310"/>
    </row>
    <row r="2311" spans="3:3" x14ac:dyDescent="0.25">
      <c r="C2311"/>
    </row>
    <row r="2312" spans="3:3" x14ac:dyDescent="0.25">
      <c r="C2312"/>
    </row>
    <row r="2313" spans="3:3" x14ac:dyDescent="0.25">
      <c r="C2313"/>
    </row>
    <row r="2314" spans="3:3" x14ac:dyDescent="0.25">
      <c r="C2314"/>
    </row>
    <row r="2315" spans="3:3" x14ac:dyDescent="0.25">
      <c r="C2315"/>
    </row>
    <row r="2316" spans="3:3" x14ac:dyDescent="0.25">
      <c r="C2316"/>
    </row>
    <row r="2317" spans="3:3" x14ac:dyDescent="0.25">
      <c r="C2317"/>
    </row>
    <row r="2318" spans="3:3" x14ac:dyDescent="0.25">
      <c r="C2318"/>
    </row>
    <row r="2319" spans="3:3" x14ac:dyDescent="0.25">
      <c r="C2319"/>
    </row>
    <row r="2320" spans="3:3" x14ac:dyDescent="0.25">
      <c r="C2320"/>
    </row>
    <row r="2321" spans="3:3" x14ac:dyDescent="0.25">
      <c r="C2321"/>
    </row>
    <row r="2322" spans="3:3" x14ac:dyDescent="0.25">
      <c r="C2322"/>
    </row>
    <row r="2323" spans="3:3" x14ac:dyDescent="0.25">
      <c r="C2323"/>
    </row>
    <row r="2324" spans="3:3" x14ac:dyDescent="0.25">
      <c r="C2324"/>
    </row>
    <row r="2325" spans="3:3" x14ac:dyDescent="0.25">
      <c r="C2325"/>
    </row>
    <row r="2326" spans="3:3" x14ac:dyDescent="0.25">
      <c r="C2326"/>
    </row>
    <row r="2327" spans="3:3" x14ac:dyDescent="0.25">
      <c r="C2327"/>
    </row>
    <row r="2328" spans="3:3" x14ac:dyDescent="0.25">
      <c r="C2328"/>
    </row>
    <row r="2329" spans="3:3" x14ac:dyDescent="0.25">
      <c r="C2329"/>
    </row>
    <row r="2330" spans="3:3" x14ac:dyDescent="0.25">
      <c r="C2330"/>
    </row>
    <row r="2331" spans="3:3" x14ac:dyDescent="0.25">
      <c r="C2331"/>
    </row>
    <row r="2332" spans="3:3" x14ac:dyDescent="0.25">
      <c r="C2332"/>
    </row>
    <row r="2333" spans="3:3" x14ac:dyDescent="0.25">
      <c r="C2333"/>
    </row>
    <row r="2334" spans="3:3" x14ac:dyDescent="0.25">
      <c r="C2334"/>
    </row>
    <row r="2335" spans="3:3" x14ac:dyDescent="0.25">
      <c r="C2335"/>
    </row>
    <row r="2336" spans="3:3" x14ac:dyDescent="0.25">
      <c r="C2336"/>
    </row>
    <row r="2337" spans="3:3" x14ac:dyDescent="0.25">
      <c r="C2337"/>
    </row>
    <row r="2338" spans="3:3" x14ac:dyDescent="0.25">
      <c r="C2338"/>
    </row>
    <row r="2339" spans="3:3" x14ac:dyDescent="0.25">
      <c r="C2339"/>
    </row>
    <row r="2340" spans="3:3" x14ac:dyDescent="0.25">
      <c r="C2340"/>
    </row>
    <row r="2341" spans="3:3" x14ac:dyDescent="0.25">
      <c r="C2341"/>
    </row>
    <row r="2342" spans="3:3" x14ac:dyDescent="0.25">
      <c r="C2342"/>
    </row>
    <row r="2343" spans="3:3" x14ac:dyDescent="0.25">
      <c r="C2343"/>
    </row>
    <row r="2344" spans="3:3" x14ac:dyDescent="0.25">
      <c r="C2344"/>
    </row>
    <row r="2345" spans="3:3" x14ac:dyDescent="0.25">
      <c r="C2345"/>
    </row>
    <row r="2346" spans="3:3" x14ac:dyDescent="0.25">
      <c r="C2346"/>
    </row>
    <row r="2347" spans="3:3" x14ac:dyDescent="0.25">
      <c r="C2347"/>
    </row>
    <row r="2348" spans="3:3" x14ac:dyDescent="0.25">
      <c r="C2348"/>
    </row>
    <row r="2349" spans="3:3" x14ac:dyDescent="0.25">
      <c r="C2349"/>
    </row>
    <row r="2350" spans="3:3" x14ac:dyDescent="0.25">
      <c r="C2350"/>
    </row>
    <row r="2351" spans="3:3" x14ac:dyDescent="0.25">
      <c r="C2351"/>
    </row>
    <row r="2352" spans="3:3" x14ac:dyDescent="0.25">
      <c r="C2352"/>
    </row>
    <row r="2353" spans="3:3" x14ac:dyDescent="0.25">
      <c r="C2353"/>
    </row>
    <row r="2354" spans="3:3" x14ac:dyDescent="0.25">
      <c r="C2354"/>
    </row>
    <row r="2355" spans="3:3" x14ac:dyDescent="0.25">
      <c r="C2355"/>
    </row>
    <row r="2356" spans="3:3" x14ac:dyDescent="0.25">
      <c r="C2356"/>
    </row>
    <row r="2357" spans="3:3" x14ac:dyDescent="0.25">
      <c r="C2357"/>
    </row>
    <row r="2358" spans="3:3" x14ac:dyDescent="0.25">
      <c r="C2358"/>
    </row>
    <row r="2359" spans="3:3" x14ac:dyDescent="0.25">
      <c r="C2359"/>
    </row>
    <row r="2360" spans="3:3" x14ac:dyDescent="0.25">
      <c r="C2360"/>
    </row>
    <row r="2361" spans="3:3" x14ac:dyDescent="0.25">
      <c r="C2361"/>
    </row>
    <row r="2362" spans="3:3" x14ac:dyDescent="0.25">
      <c r="C2362"/>
    </row>
    <row r="2363" spans="3:3" x14ac:dyDescent="0.25">
      <c r="C2363"/>
    </row>
    <row r="2364" spans="3:3" x14ac:dyDescent="0.25">
      <c r="C2364"/>
    </row>
    <row r="2365" spans="3:3" x14ac:dyDescent="0.25">
      <c r="C2365"/>
    </row>
    <row r="2366" spans="3:3" x14ac:dyDescent="0.25">
      <c r="C2366"/>
    </row>
    <row r="2367" spans="3:3" x14ac:dyDescent="0.25">
      <c r="C2367"/>
    </row>
    <row r="2368" spans="3:3" x14ac:dyDescent="0.25">
      <c r="C2368"/>
    </row>
    <row r="2369" spans="3:3" x14ac:dyDescent="0.25">
      <c r="C2369"/>
    </row>
    <row r="2370" spans="3:3" x14ac:dyDescent="0.25">
      <c r="C2370"/>
    </row>
    <row r="2371" spans="3:3" x14ac:dyDescent="0.25">
      <c r="C2371"/>
    </row>
    <row r="2372" spans="3:3" x14ac:dyDescent="0.25">
      <c r="C2372"/>
    </row>
    <row r="2373" spans="3:3" x14ac:dyDescent="0.25">
      <c r="C2373"/>
    </row>
    <row r="2374" spans="3:3" x14ac:dyDescent="0.25">
      <c r="C2374"/>
    </row>
    <row r="2375" spans="3:3" x14ac:dyDescent="0.25">
      <c r="C2375"/>
    </row>
    <row r="2376" spans="3:3" x14ac:dyDescent="0.25">
      <c r="C2376"/>
    </row>
    <row r="2377" spans="3:3" x14ac:dyDescent="0.25">
      <c r="C2377"/>
    </row>
    <row r="2378" spans="3:3" x14ac:dyDescent="0.25">
      <c r="C2378"/>
    </row>
    <row r="2379" spans="3:3" x14ac:dyDescent="0.25">
      <c r="C2379"/>
    </row>
    <row r="2380" spans="3:3" x14ac:dyDescent="0.25">
      <c r="C2380"/>
    </row>
    <row r="2381" spans="3:3" x14ac:dyDescent="0.25">
      <c r="C2381"/>
    </row>
    <row r="2382" spans="3:3" x14ac:dyDescent="0.25">
      <c r="C2382"/>
    </row>
    <row r="2383" spans="3:3" x14ac:dyDescent="0.25">
      <c r="C2383"/>
    </row>
    <row r="2384" spans="3:3" x14ac:dyDescent="0.25">
      <c r="C2384"/>
    </row>
    <row r="2385" spans="3:3" x14ac:dyDescent="0.25">
      <c r="C2385"/>
    </row>
    <row r="2386" spans="3:3" x14ac:dyDescent="0.25">
      <c r="C2386"/>
    </row>
    <row r="2387" spans="3:3" x14ac:dyDescent="0.25">
      <c r="C2387"/>
    </row>
    <row r="2388" spans="3:3" x14ac:dyDescent="0.25">
      <c r="C2388"/>
    </row>
    <row r="2389" spans="3:3" x14ac:dyDescent="0.25">
      <c r="C2389"/>
    </row>
    <row r="2390" spans="3:3" x14ac:dyDescent="0.25">
      <c r="C2390"/>
    </row>
    <row r="2391" spans="3:3" x14ac:dyDescent="0.25">
      <c r="C2391"/>
    </row>
    <row r="2392" spans="3:3" x14ac:dyDescent="0.25">
      <c r="C2392"/>
    </row>
    <row r="2393" spans="3:3" x14ac:dyDescent="0.25">
      <c r="C2393"/>
    </row>
    <row r="2394" spans="3:3" x14ac:dyDescent="0.25">
      <c r="C2394"/>
    </row>
    <row r="2395" spans="3:3" x14ac:dyDescent="0.25">
      <c r="C2395"/>
    </row>
    <row r="2396" spans="3:3" x14ac:dyDescent="0.25">
      <c r="C2396"/>
    </row>
    <row r="2397" spans="3:3" x14ac:dyDescent="0.25">
      <c r="C2397"/>
    </row>
    <row r="2398" spans="3:3" x14ac:dyDescent="0.25">
      <c r="C2398"/>
    </row>
    <row r="2399" spans="3:3" x14ac:dyDescent="0.25">
      <c r="C2399"/>
    </row>
    <row r="2400" spans="3:3" x14ac:dyDescent="0.25">
      <c r="C2400"/>
    </row>
    <row r="2401" spans="1:46" x14ac:dyDescent="0.25">
      <c r="C2401"/>
    </row>
    <row r="2402" spans="1:46" x14ac:dyDescent="0.25">
      <c r="C2402"/>
    </row>
    <row r="2403" spans="1:46" x14ac:dyDescent="0.25">
      <c r="C2403"/>
    </row>
    <row r="2404" spans="1:46" x14ac:dyDescent="0.25">
      <c r="C2404"/>
    </row>
    <row r="2405" spans="1:46" x14ac:dyDescent="0.25">
      <c r="C2405"/>
    </row>
    <row r="2406" spans="1:46" x14ac:dyDescent="0.25">
      <c r="C2406"/>
    </row>
    <row r="2407" spans="1:46" x14ac:dyDescent="0.25">
      <c r="C2407"/>
    </row>
    <row r="2408" spans="1:46" x14ac:dyDescent="0.25">
      <c r="C2408"/>
    </row>
    <row r="2409" spans="1:46" x14ac:dyDescent="0.25">
      <c r="C2409"/>
    </row>
    <row r="2410" spans="1:46" x14ac:dyDescent="0.25">
      <c r="C2410"/>
    </row>
    <row r="2411" spans="1:46" x14ac:dyDescent="0.25">
      <c r="C2411"/>
    </row>
    <row r="2412" spans="1:46" x14ac:dyDescent="0.25">
      <c r="C2412"/>
    </row>
    <row r="2413" spans="1:46" x14ac:dyDescent="0.25">
      <c r="C2413"/>
    </row>
    <row r="2414" spans="1:46" x14ac:dyDescent="0.25">
      <c r="C2414"/>
    </row>
    <row r="2415" spans="1:46" x14ac:dyDescent="0.25">
      <c r="C2415"/>
    </row>
    <row r="2416" spans="1:46" s="22" customFormat="1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</row>
    <row r="2417" spans="3:3" x14ac:dyDescent="0.25">
      <c r="C2417"/>
    </row>
    <row r="2418" spans="3:3" x14ac:dyDescent="0.25">
      <c r="C2418"/>
    </row>
    <row r="2419" spans="3:3" x14ac:dyDescent="0.25">
      <c r="C2419"/>
    </row>
    <row r="2420" spans="3:3" x14ac:dyDescent="0.25">
      <c r="C2420"/>
    </row>
    <row r="2421" spans="3:3" x14ac:dyDescent="0.25">
      <c r="C2421"/>
    </row>
    <row r="2422" spans="3:3" x14ac:dyDescent="0.25">
      <c r="C2422"/>
    </row>
    <row r="2423" spans="3:3" x14ac:dyDescent="0.25">
      <c r="C2423"/>
    </row>
    <row r="2424" spans="3:3" x14ac:dyDescent="0.25">
      <c r="C2424"/>
    </row>
    <row r="2425" spans="3:3" x14ac:dyDescent="0.25">
      <c r="C2425"/>
    </row>
    <row r="2426" spans="3:3" x14ac:dyDescent="0.25">
      <c r="C2426"/>
    </row>
    <row r="2427" spans="3:3" x14ac:dyDescent="0.25">
      <c r="C2427"/>
    </row>
    <row r="2428" spans="3:3" x14ac:dyDescent="0.25">
      <c r="C2428"/>
    </row>
    <row r="2429" spans="3:3" x14ac:dyDescent="0.25">
      <c r="C2429"/>
    </row>
    <row r="2430" spans="3:3" x14ac:dyDescent="0.25">
      <c r="C2430"/>
    </row>
    <row r="2431" spans="3:3" x14ac:dyDescent="0.25">
      <c r="C2431"/>
    </row>
    <row r="2432" spans="3:3" x14ac:dyDescent="0.25">
      <c r="C2432"/>
    </row>
    <row r="2433" spans="3:3" x14ac:dyDescent="0.25">
      <c r="C2433"/>
    </row>
    <row r="2434" spans="3:3" x14ac:dyDescent="0.25">
      <c r="C2434"/>
    </row>
    <row r="2435" spans="3:3" x14ac:dyDescent="0.25">
      <c r="C2435"/>
    </row>
    <row r="2436" spans="3:3" x14ac:dyDescent="0.25">
      <c r="C2436"/>
    </row>
    <row r="2437" spans="3:3" x14ac:dyDescent="0.25">
      <c r="C2437"/>
    </row>
    <row r="2438" spans="3:3" x14ac:dyDescent="0.25">
      <c r="C2438"/>
    </row>
    <row r="2439" spans="3:3" x14ac:dyDescent="0.25">
      <c r="C2439"/>
    </row>
    <row r="2440" spans="3:3" x14ac:dyDescent="0.25">
      <c r="C2440"/>
    </row>
    <row r="2441" spans="3:3" x14ac:dyDescent="0.25">
      <c r="C2441"/>
    </row>
    <row r="2442" spans="3:3" x14ac:dyDescent="0.25">
      <c r="C2442"/>
    </row>
    <row r="2443" spans="3:3" x14ac:dyDescent="0.25">
      <c r="C2443"/>
    </row>
    <row r="2444" spans="3:3" x14ac:dyDescent="0.25">
      <c r="C2444"/>
    </row>
    <row r="2445" spans="3:3" x14ac:dyDescent="0.25">
      <c r="C2445"/>
    </row>
    <row r="2446" spans="3:3" x14ac:dyDescent="0.25">
      <c r="C2446"/>
    </row>
    <row r="2447" spans="3:3" x14ac:dyDescent="0.25">
      <c r="C2447"/>
    </row>
    <row r="2448" spans="3:3" x14ac:dyDescent="0.25">
      <c r="C2448"/>
    </row>
    <row r="2449" spans="3:3" x14ac:dyDescent="0.25">
      <c r="C2449"/>
    </row>
    <row r="2450" spans="3:3" x14ac:dyDescent="0.25">
      <c r="C2450"/>
    </row>
    <row r="2451" spans="3:3" x14ac:dyDescent="0.25">
      <c r="C2451"/>
    </row>
    <row r="2452" spans="3:3" x14ac:dyDescent="0.25">
      <c r="C2452"/>
    </row>
    <row r="2453" spans="3:3" x14ac:dyDescent="0.25">
      <c r="C2453"/>
    </row>
    <row r="2454" spans="3:3" x14ac:dyDescent="0.25">
      <c r="C2454"/>
    </row>
    <row r="2455" spans="3:3" x14ac:dyDescent="0.25">
      <c r="C2455"/>
    </row>
    <row r="2456" spans="3:3" x14ac:dyDescent="0.25">
      <c r="C2456"/>
    </row>
    <row r="2457" spans="3:3" x14ac:dyDescent="0.25">
      <c r="C2457"/>
    </row>
    <row r="2458" spans="3:3" x14ac:dyDescent="0.25">
      <c r="C2458"/>
    </row>
    <row r="2459" spans="3:3" x14ac:dyDescent="0.25">
      <c r="C2459"/>
    </row>
    <row r="2460" spans="3:3" x14ac:dyDescent="0.25">
      <c r="C2460"/>
    </row>
    <row r="2461" spans="3:3" x14ac:dyDescent="0.25">
      <c r="C2461"/>
    </row>
    <row r="2462" spans="3:3" x14ac:dyDescent="0.25">
      <c r="C2462"/>
    </row>
    <row r="2463" spans="3:3" x14ac:dyDescent="0.25">
      <c r="C2463"/>
    </row>
    <row r="2464" spans="3:3" x14ac:dyDescent="0.25">
      <c r="C2464"/>
    </row>
    <row r="2465" spans="3:3" x14ac:dyDescent="0.25">
      <c r="C2465"/>
    </row>
    <row r="2466" spans="3:3" x14ac:dyDescent="0.25">
      <c r="C2466"/>
    </row>
    <row r="2467" spans="3:3" x14ac:dyDescent="0.25">
      <c r="C2467"/>
    </row>
    <row r="2468" spans="3:3" x14ac:dyDescent="0.25">
      <c r="C2468"/>
    </row>
    <row r="2469" spans="3:3" x14ac:dyDescent="0.25">
      <c r="C2469"/>
    </row>
    <row r="2470" spans="3:3" x14ac:dyDescent="0.25">
      <c r="C2470"/>
    </row>
    <row r="2471" spans="3:3" x14ac:dyDescent="0.25">
      <c r="C2471"/>
    </row>
    <row r="2472" spans="3:3" x14ac:dyDescent="0.25">
      <c r="C2472"/>
    </row>
    <row r="2473" spans="3:3" x14ac:dyDescent="0.25">
      <c r="C2473"/>
    </row>
    <row r="2474" spans="3:3" x14ac:dyDescent="0.25">
      <c r="C2474"/>
    </row>
    <row r="2475" spans="3:3" x14ac:dyDescent="0.25">
      <c r="C2475"/>
    </row>
    <row r="2476" spans="3:3" x14ac:dyDescent="0.25">
      <c r="C2476"/>
    </row>
    <row r="2477" spans="3:3" x14ac:dyDescent="0.25">
      <c r="C2477"/>
    </row>
    <row r="2478" spans="3:3" x14ac:dyDescent="0.25">
      <c r="C2478"/>
    </row>
    <row r="2479" spans="3:3" x14ac:dyDescent="0.25">
      <c r="C2479"/>
    </row>
    <row r="2480" spans="3:3" x14ac:dyDescent="0.25">
      <c r="C2480"/>
    </row>
    <row r="2481" spans="3:3" x14ac:dyDescent="0.25">
      <c r="C2481"/>
    </row>
    <row r="2482" spans="3:3" x14ac:dyDescent="0.25">
      <c r="C2482"/>
    </row>
    <row r="2483" spans="3:3" x14ac:dyDescent="0.25">
      <c r="C2483"/>
    </row>
    <row r="2484" spans="3:3" x14ac:dyDescent="0.25">
      <c r="C2484"/>
    </row>
    <row r="2485" spans="3:3" x14ac:dyDescent="0.25">
      <c r="C2485"/>
    </row>
    <row r="2486" spans="3:3" x14ac:dyDescent="0.25">
      <c r="C2486"/>
    </row>
    <row r="2487" spans="3:3" x14ac:dyDescent="0.25">
      <c r="C2487"/>
    </row>
    <row r="2488" spans="3:3" x14ac:dyDescent="0.25">
      <c r="C2488"/>
    </row>
    <row r="2489" spans="3:3" x14ac:dyDescent="0.25">
      <c r="C2489"/>
    </row>
    <row r="2490" spans="3:3" x14ac:dyDescent="0.25">
      <c r="C2490"/>
    </row>
    <row r="2491" spans="3:3" x14ac:dyDescent="0.25">
      <c r="C2491"/>
    </row>
    <row r="2492" spans="3:3" x14ac:dyDescent="0.25">
      <c r="C2492"/>
    </row>
    <row r="2493" spans="3:3" x14ac:dyDescent="0.25">
      <c r="C2493"/>
    </row>
    <row r="2494" spans="3:3" x14ac:dyDescent="0.25">
      <c r="C2494"/>
    </row>
    <row r="2495" spans="3:3" x14ac:dyDescent="0.25">
      <c r="C2495"/>
    </row>
    <row r="2496" spans="3:3" x14ac:dyDescent="0.25">
      <c r="C2496"/>
    </row>
    <row r="2497" spans="3:3" x14ac:dyDescent="0.25">
      <c r="C2497"/>
    </row>
    <row r="2498" spans="3:3" x14ac:dyDescent="0.25">
      <c r="C2498"/>
    </row>
    <row r="2499" spans="3:3" x14ac:dyDescent="0.25">
      <c r="C2499"/>
    </row>
    <row r="2500" spans="3:3" x14ac:dyDescent="0.25">
      <c r="C2500"/>
    </row>
    <row r="2501" spans="3:3" x14ac:dyDescent="0.25">
      <c r="C2501"/>
    </row>
    <row r="2502" spans="3:3" x14ac:dyDescent="0.25">
      <c r="C2502"/>
    </row>
    <row r="2503" spans="3:3" x14ac:dyDescent="0.25">
      <c r="C2503"/>
    </row>
    <row r="2504" spans="3:3" x14ac:dyDescent="0.25">
      <c r="C2504"/>
    </row>
    <row r="2505" spans="3:3" x14ac:dyDescent="0.25">
      <c r="C2505"/>
    </row>
    <row r="2506" spans="3:3" x14ac:dyDescent="0.25">
      <c r="C2506"/>
    </row>
    <row r="2507" spans="3:3" x14ac:dyDescent="0.25">
      <c r="C2507"/>
    </row>
    <row r="2508" spans="3:3" x14ac:dyDescent="0.25">
      <c r="C2508"/>
    </row>
    <row r="2509" spans="3:3" x14ac:dyDescent="0.25">
      <c r="C2509"/>
    </row>
    <row r="2510" spans="3:3" x14ac:dyDescent="0.25">
      <c r="C2510"/>
    </row>
    <row r="2511" spans="3:3" x14ac:dyDescent="0.25">
      <c r="C2511"/>
    </row>
    <row r="2512" spans="3:3" x14ac:dyDescent="0.25">
      <c r="C2512"/>
    </row>
    <row r="2513" spans="3:3" x14ac:dyDescent="0.25">
      <c r="C2513"/>
    </row>
    <row r="2514" spans="3:3" x14ac:dyDescent="0.25">
      <c r="C2514"/>
    </row>
    <row r="2515" spans="3:3" x14ac:dyDescent="0.25">
      <c r="C2515"/>
    </row>
    <row r="2516" spans="3:3" x14ac:dyDescent="0.25">
      <c r="C2516"/>
    </row>
    <row r="2517" spans="3:3" x14ac:dyDescent="0.25">
      <c r="C2517"/>
    </row>
    <row r="2518" spans="3:3" x14ac:dyDescent="0.25">
      <c r="C2518"/>
    </row>
    <row r="2519" spans="3:3" x14ac:dyDescent="0.25">
      <c r="C2519"/>
    </row>
    <row r="2520" spans="3:3" x14ac:dyDescent="0.25">
      <c r="C2520"/>
    </row>
    <row r="2521" spans="3:3" x14ac:dyDescent="0.25">
      <c r="C2521"/>
    </row>
    <row r="2522" spans="3:3" x14ac:dyDescent="0.25">
      <c r="C2522"/>
    </row>
    <row r="2523" spans="3:3" x14ac:dyDescent="0.25">
      <c r="C2523"/>
    </row>
    <row r="2524" spans="3:3" x14ac:dyDescent="0.25">
      <c r="C2524"/>
    </row>
    <row r="2525" spans="3:3" x14ac:dyDescent="0.25">
      <c r="C2525"/>
    </row>
    <row r="2526" spans="3:3" x14ac:dyDescent="0.25">
      <c r="C2526"/>
    </row>
    <row r="2527" spans="3:3" x14ac:dyDescent="0.25">
      <c r="C2527"/>
    </row>
    <row r="2528" spans="3:3" x14ac:dyDescent="0.25">
      <c r="C2528"/>
    </row>
    <row r="2529" spans="3:3" x14ac:dyDescent="0.25">
      <c r="C2529"/>
    </row>
    <row r="2530" spans="3:3" x14ac:dyDescent="0.25">
      <c r="C2530"/>
    </row>
    <row r="2531" spans="3:3" x14ac:dyDescent="0.25">
      <c r="C2531"/>
    </row>
    <row r="2532" spans="3:3" x14ac:dyDescent="0.25">
      <c r="C2532"/>
    </row>
    <row r="2533" spans="3:3" x14ac:dyDescent="0.25">
      <c r="C2533"/>
    </row>
    <row r="2534" spans="3:3" x14ac:dyDescent="0.25">
      <c r="C2534"/>
    </row>
    <row r="2535" spans="3:3" x14ac:dyDescent="0.25">
      <c r="C2535"/>
    </row>
    <row r="2536" spans="3:3" x14ac:dyDescent="0.25">
      <c r="C2536"/>
    </row>
    <row r="2537" spans="3:3" x14ac:dyDescent="0.25">
      <c r="C2537"/>
    </row>
    <row r="2538" spans="3:3" x14ac:dyDescent="0.25">
      <c r="C2538"/>
    </row>
    <row r="2539" spans="3:3" x14ac:dyDescent="0.25">
      <c r="C2539"/>
    </row>
    <row r="2540" spans="3:3" x14ac:dyDescent="0.25">
      <c r="C2540"/>
    </row>
    <row r="2541" spans="3:3" x14ac:dyDescent="0.25">
      <c r="C2541"/>
    </row>
    <row r="2542" spans="3:3" x14ac:dyDescent="0.25">
      <c r="C2542"/>
    </row>
    <row r="2543" spans="3:3" x14ac:dyDescent="0.25">
      <c r="C2543"/>
    </row>
    <row r="2544" spans="3:3" x14ac:dyDescent="0.25">
      <c r="C2544"/>
    </row>
    <row r="2545" spans="3:3" x14ac:dyDescent="0.25">
      <c r="C2545"/>
    </row>
    <row r="2546" spans="3:3" x14ac:dyDescent="0.25">
      <c r="C2546"/>
    </row>
    <row r="2547" spans="3:3" x14ac:dyDescent="0.25">
      <c r="C2547"/>
    </row>
    <row r="2548" spans="3:3" x14ac:dyDescent="0.25">
      <c r="C2548"/>
    </row>
    <row r="2549" spans="3:3" x14ac:dyDescent="0.25">
      <c r="C2549"/>
    </row>
    <row r="2550" spans="3:3" x14ac:dyDescent="0.25">
      <c r="C2550"/>
    </row>
    <row r="2551" spans="3:3" x14ac:dyDescent="0.25">
      <c r="C2551"/>
    </row>
    <row r="2552" spans="3:3" x14ac:dyDescent="0.25">
      <c r="C2552"/>
    </row>
    <row r="2553" spans="3:3" x14ac:dyDescent="0.25">
      <c r="C2553"/>
    </row>
    <row r="2554" spans="3:3" x14ac:dyDescent="0.25">
      <c r="C2554"/>
    </row>
    <row r="2555" spans="3:3" x14ac:dyDescent="0.25">
      <c r="C2555"/>
    </row>
    <row r="2556" spans="3:3" x14ac:dyDescent="0.25">
      <c r="C2556"/>
    </row>
    <row r="2557" spans="3:3" x14ac:dyDescent="0.25">
      <c r="C2557"/>
    </row>
    <row r="2558" spans="3:3" x14ac:dyDescent="0.25">
      <c r="C2558"/>
    </row>
    <row r="2559" spans="3:3" x14ac:dyDescent="0.25">
      <c r="C2559"/>
    </row>
    <row r="2560" spans="3:3" x14ac:dyDescent="0.25">
      <c r="C2560"/>
    </row>
    <row r="2561" spans="3:3" x14ac:dyDescent="0.25">
      <c r="C2561"/>
    </row>
    <row r="2562" spans="3:3" x14ac:dyDescent="0.25">
      <c r="C2562"/>
    </row>
    <row r="2563" spans="3:3" x14ac:dyDescent="0.25">
      <c r="C2563"/>
    </row>
    <row r="2564" spans="3:3" x14ac:dyDescent="0.25">
      <c r="C2564"/>
    </row>
    <row r="2565" spans="3:3" x14ac:dyDescent="0.25">
      <c r="C2565"/>
    </row>
    <row r="2566" spans="3:3" x14ac:dyDescent="0.25">
      <c r="C2566"/>
    </row>
    <row r="2567" spans="3:3" x14ac:dyDescent="0.25">
      <c r="C2567"/>
    </row>
    <row r="2568" spans="3:3" x14ac:dyDescent="0.25">
      <c r="C2568"/>
    </row>
    <row r="2569" spans="3:3" x14ac:dyDescent="0.25">
      <c r="C2569"/>
    </row>
    <row r="2570" spans="3:3" x14ac:dyDescent="0.25">
      <c r="C2570"/>
    </row>
    <row r="2571" spans="3:3" x14ac:dyDescent="0.25">
      <c r="C2571"/>
    </row>
    <row r="2572" spans="3:3" x14ac:dyDescent="0.25">
      <c r="C2572"/>
    </row>
    <row r="2573" spans="3:3" x14ac:dyDescent="0.25">
      <c r="C2573"/>
    </row>
    <row r="2574" spans="3:3" x14ac:dyDescent="0.25">
      <c r="C2574"/>
    </row>
    <row r="2575" spans="3:3" x14ac:dyDescent="0.25">
      <c r="C2575"/>
    </row>
    <row r="2576" spans="3:3" x14ac:dyDescent="0.25">
      <c r="C2576"/>
    </row>
    <row r="2577" spans="3:3" x14ac:dyDescent="0.25">
      <c r="C2577"/>
    </row>
    <row r="2578" spans="3:3" x14ac:dyDescent="0.25">
      <c r="C2578"/>
    </row>
    <row r="2579" spans="3:3" x14ac:dyDescent="0.25">
      <c r="C2579"/>
    </row>
    <row r="2580" spans="3:3" x14ac:dyDescent="0.25">
      <c r="C2580"/>
    </row>
    <row r="2581" spans="3:3" x14ac:dyDescent="0.25">
      <c r="C2581"/>
    </row>
    <row r="2582" spans="3:3" x14ac:dyDescent="0.25">
      <c r="C2582"/>
    </row>
    <row r="2583" spans="3:3" x14ac:dyDescent="0.25">
      <c r="C2583"/>
    </row>
    <row r="2584" spans="3:3" x14ac:dyDescent="0.25">
      <c r="C2584"/>
    </row>
    <row r="2585" spans="3:3" x14ac:dyDescent="0.25">
      <c r="C2585"/>
    </row>
    <row r="2586" spans="3:3" x14ac:dyDescent="0.25">
      <c r="C2586"/>
    </row>
    <row r="2587" spans="3:3" x14ac:dyDescent="0.25">
      <c r="C2587"/>
    </row>
    <row r="2588" spans="3:3" x14ac:dyDescent="0.25">
      <c r="C2588"/>
    </row>
    <row r="2589" spans="3:3" x14ac:dyDescent="0.25">
      <c r="C2589"/>
    </row>
    <row r="2590" spans="3:3" x14ac:dyDescent="0.25">
      <c r="C2590"/>
    </row>
    <row r="2591" spans="3:3" x14ac:dyDescent="0.25">
      <c r="C2591"/>
    </row>
    <row r="2592" spans="3:3" x14ac:dyDescent="0.25">
      <c r="C2592"/>
    </row>
    <row r="2593" spans="3:3" x14ac:dyDescent="0.25">
      <c r="C2593"/>
    </row>
    <row r="2594" spans="3:3" x14ac:dyDescent="0.25">
      <c r="C2594"/>
    </row>
    <row r="2595" spans="3:3" x14ac:dyDescent="0.25">
      <c r="C2595"/>
    </row>
    <row r="2596" spans="3:3" x14ac:dyDescent="0.25">
      <c r="C2596"/>
    </row>
    <row r="2597" spans="3:3" x14ac:dyDescent="0.25">
      <c r="C2597"/>
    </row>
    <row r="2598" spans="3:3" x14ac:dyDescent="0.25">
      <c r="C2598"/>
    </row>
    <row r="2599" spans="3:3" x14ac:dyDescent="0.25">
      <c r="C2599"/>
    </row>
    <row r="2600" spans="3:3" x14ac:dyDescent="0.25">
      <c r="C2600"/>
    </row>
    <row r="2601" spans="3:3" x14ac:dyDescent="0.25">
      <c r="C2601"/>
    </row>
    <row r="2602" spans="3:3" x14ac:dyDescent="0.25">
      <c r="C2602"/>
    </row>
    <row r="2603" spans="3:3" x14ac:dyDescent="0.25">
      <c r="C2603"/>
    </row>
    <row r="2604" spans="3:3" x14ac:dyDescent="0.25">
      <c r="C2604"/>
    </row>
    <row r="2605" spans="3:3" x14ac:dyDescent="0.25">
      <c r="C2605"/>
    </row>
    <row r="2606" spans="3:3" x14ac:dyDescent="0.25">
      <c r="C2606"/>
    </row>
    <row r="2607" spans="3:3" x14ac:dyDescent="0.25">
      <c r="C2607"/>
    </row>
    <row r="2608" spans="3:3" x14ac:dyDescent="0.25">
      <c r="C2608"/>
    </row>
    <row r="2609" spans="3:3" x14ac:dyDescent="0.25">
      <c r="C2609"/>
    </row>
    <row r="2610" spans="3:3" x14ac:dyDescent="0.25">
      <c r="C2610"/>
    </row>
    <row r="2611" spans="3:3" x14ac:dyDescent="0.25">
      <c r="C2611"/>
    </row>
    <row r="2612" spans="3:3" x14ac:dyDescent="0.25">
      <c r="C2612"/>
    </row>
    <row r="2613" spans="3:3" x14ac:dyDescent="0.25">
      <c r="C2613"/>
    </row>
    <row r="2614" spans="3:3" x14ac:dyDescent="0.25">
      <c r="C2614"/>
    </row>
    <row r="2615" spans="3:3" x14ac:dyDescent="0.25">
      <c r="C2615"/>
    </row>
    <row r="2616" spans="3:3" x14ac:dyDescent="0.25">
      <c r="C2616"/>
    </row>
    <row r="2617" spans="3:3" x14ac:dyDescent="0.25">
      <c r="C2617"/>
    </row>
    <row r="2618" spans="3:3" x14ac:dyDescent="0.25">
      <c r="C2618"/>
    </row>
    <row r="2619" spans="3:3" x14ac:dyDescent="0.25">
      <c r="C2619"/>
    </row>
    <row r="2620" spans="3:3" x14ac:dyDescent="0.25">
      <c r="C2620"/>
    </row>
    <row r="2621" spans="3:3" x14ac:dyDescent="0.25">
      <c r="C2621"/>
    </row>
    <row r="2622" spans="3:3" x14ac:dyDescent="0.25">
      <c r="C2622"/>
    </row>
    <row r="2623" spans="3:3" x14ac:dyDescent="0.25">
      <c r="C2623"/>
    </row>
    <row r="2624" spans="3:3" x14ac:dyDescent="0.25">
      <c r="C2624"/>
    </row>
    <row r="2625" spans="3:3" x14ac:dyDescent="0.25">
      <c r="C2625"/>
    </row>
    <row r="2626" spans="3:3" x14ac:dyDescent="0.25">
      <c r="C2626"/>
    </row>
    <row r="2627" spans="3:3" x14ac:dyDescent="0.25">
      <c r="C2627"/>
    </row>
    <row r="2628" spans="3:3" x14ac:dyDescent="0.25">
      <c r="C2628"/>
    </row>
    <row r="2629" spans="3:3" x14ac:dyDescent="0.25">
      <c r="C2629"/>
    </row>
    <row r="2630" spans="3:3" x14ac:dyDescent="0.25">
      <c r="C2630"/>
    </row>
    <row r="2631" spans="3:3" x14ac:dyDescent="0.25">
      <c r="C2631"/>
    </row>
    <row r="2632" spans="3:3" x14ac:dyDescent="0.25">
      <c r="C2632"/>
    </row>
    <row r="2633" spans="3:3" x14ac:dyDescent="0.25">
      <c r="C2633"/>
    </row>
    <row r="2634" spans="3:3" x14ac:dyDescent="0.25">
      <c r="C2634"/>
    </row>
    <row r="2635" spans="3:3" x14ac:dyDescent="0.25">
      <c r="C2635"/>
    </row>
    <row r="2636" spans="3:3" x14ac:dyDescent="0.25">
      <c r="C2636"/>
    </row>
    <row r="2637" spans="3:3" x14ac:dyDescent="0.25">
      <c r="C2637"/>
    </row>
    <row r="2638" spans="3:3" x14ac:dyDescent="0.25">
      <c r="C2638"/>
    </row>
    <row r="2639" spans="3:3" x14ac:dyDescent="0.25">
      <c r="C2639"/>
    </row>
    <row r="2640" spans="3:3" x14ac:dyDescent="0.25">
      <c r="C2640"/>
    </row>
    <row r="2641" spans="3:3" x14ac:dyDescent="0.25">
      <c r="C2641"/>
    </row>
    <row r="2642" spans="3:3" x14ac:dyDescent="0.25">
      <c r="C2642"/>
    </row>
    <row r="2643" spans="3:3" x14ac:dyDescent="0.25">
      <c r="C2643"/>
    </row>
    <row r="2644" spans="3:3" x14ac:dyDescent="0.25">
      <c r="C2644"/>
    </row>
    <row r="2645" spans="3:3" x14ac:dyDescent="0.25">
      <c r="C2645"/>
    </row>
    <row r="2646" spans="3:3" x14ac:dyDescent="0.25">
      <c r="C2646"/>
    </row>
    <row r="2647" spans="3:3" x14ac:dyDescent="0.25">
      <c r="C2647"/>
    </row>
    <row r="2648" spans="3:3" x14ac:dyDescent="0.25">
      <c r="C2648"/>
    </row>
    <row r="2649" spans="3:3" x14ac:dyDescent="0.25">
      <c r="C2649"/>
    </row>
    <row r="2650" spans="3:3" x14ac:dyDescent="0.25">
      <c r="C2650"/>
    </row>
    <row r="2651" spans="3:3" x14ac:dyDescent="0.25">
      <c r="C2651"/>
    </row>
    <row r="2652" spans="3:3" x14ac:dyDescent="0.25">
      <c r="C2652"/>
    </row>
    <row r="2653" spans="3:3" x14ac:dyDescent="0.25">
      <c r="C2653"/>
    </row>
    <row r="2654" spans="3:3" x14ac:dyDescent="0.25">
      <c r="C2654"/>
    </row>
    <row r="2655" spans="3:3" x14ac:dyDescent="0.25">
      <c r="C2655"/>
    </row>
    <row r="2656" spans="3:3" x14ac:dyDescent="0.25">
      <c r="C2656"/>
    </row>
    <row r="2657" spans="3:3" x14ac:dyDescent="0.25">
      <c r="C2657"/>
    </row>
    <row r="2658" spans="3:3" x14ac:dyDescent="0.25">
      <c r="C2658"/>
    </row>
    <row r="2659" spans="3:3" x14ac:dyDescent="0.25">
      <c r="C2659"/>
    </row>
    <row r="2660" spans="3:3" x14ac:dyDescent="0.25">
      <c r="C2660"/>
    </row>
    <row r="2661" spans="3:3" x14ac:dyDescent="0.25">
      <c r="C2661"/>
    </row>
    <row r="2662" spans="3:3" x14ac:dyDescent="0.25">
      <c r="C2662"/>
    </row>
    <row r="2663" spans="3:3" x14ac:dyDescent="0.25">
      <c r="C2663"/>
    </row>
    <row r="2664" spans="3:3" x14ac:dyDescent="0.25">
      <c r="C2664"/>
    </row>
    <row r="2665" spans="3:3" x14ac:dyDescent="0.25">
      <c r="C2665"/>
    </row>
    <row r="2666" spans="3:3" x14ac:dyDescent="0.25">
      <c r="C2666"/>
    </row>
    <row r="2667" spans="3:3" x14ac:dyDescent="0.25">
      <c r="C2667"/>
    </row>
    <row r="2668" spans="3:3" x14ac:dyDescent="0.25">
      <c r="C2668"/>
    </row>
    <row r="2669" spans="3:3" x14ac:dyDescent="0.25">
      <c r="C2669"/>
    </row>
    <row r="2670" spans="3:3" x14ac:dyDescent="0.25">
      <c r="C2670"/>
    </row>
    <row r="2671" spans="3:3" x14ac:dyDescent="0.25">
      <c r="C2671"/>
    </row>
    <row r="2672" spans="3:3" x14ac:dyDescent="0.25">
      <c r="C2672"/>
    </row>
    <row r="2673" spans="1:7" x14ac:dyDescent="0.25">
      <c r="C2673"/>
    </row>
    <row r="2674" spans="1:7" x14ac:dyDescent="0.25">
      <c r="C2674"/>
    </row>
    <row r="2675" spans="1:7" x14ac:dyDescent="0.25">
      <c r="C2675"/>
    </row>
    <row r="2676" spans="1:7" x14ac:dyDescent="0.25">
      <c r="C2676"/>
    </row>
    <row r="2677" spans="1:7" x14ac:dyDescent="0.25">
      <c r="C2677"/>
    </row>
    <row r="2678" spans="1:7" x14ac:dyDescent="0.25">
      <c r="C2678"/>
    </row>
    <row r="2679" spans="1:7" x14ac:dyDescent="0.25">
      <c r="C2679"/>
    </row>
    <row r="2680" spans="1:7" x14ac:dyDescent="0.25">
      <c r="C2680"/>
    </row>
    <row r="2681" spans="1:7" x14ac:dyDescent="0.25">
      <c r="C2681"/>
    </row>
    <row r="2682" spans="1:7" x14ac:dyDescent="0.25">
      <c r="A2682" s="7"/>
      <c r="B2682" s="2"/>
      <c r="C2682" s="56"/>
      <c r="D2682" s="8"/>
      <c r="E2682" s="8"/>
      <c r="F2682" s="8"/>
      <c r="G2682" s="2"/>
    </row>
    <row r="2683" spans="1:7" x14ac:dyDescent="0.25">
      <c r="A2683" s="7"/>
      <c r="B2683" s="2"/>
      <c r="C2683" s="56"/>
      <c r="D2683" s="8"/>
      <c r="E2683" s="8"/>
      <c r="F2683" s="8"/>
      <c r="G2683" s="2"/>
    </row>
    <row r="2684" spans="1:7" x14ac:dyDescent="0.25">
      <c r="A2684" s="7"/>
      <c r="B2684" s="2"/>
      <c r="C2684" s="56"/>
      <c r="D2684" s="8"/>
      <c r="E2684" s="8"/>
      <c r="F2684" s="8"/>
      <c r="G2684" s="2"/>
    </row>
    <row r="2685" spans="1:7" x14ac:dyDescent="0.25">
      <c r="A2685" s="7"/>
      <c r="B2685" s="2"/>
      <c r="C2685" s="56"/>
      <c r="D2685" s="8"/>
      <c r="E2685" s="8"/>
      <c r="F2685" s="8"/>
      <c r="G2685" s="2"/>
    </row>
    <row r="2686" spans="1:7" x14ac:dyDescent="0.25">
      <c r="A2686" s="7"/>
      <c r="B2686" s="2"/>
      <c r="C2686" s="56"/>
      <c r="D2686" s="8"/>
      <c r="E2686" s="8"/>
      <c r="F2686" s="8"/>
      <c r="G2686" s="2"/>
    </row>
    <row r="2687" spans="1:7" x14ac:dyDescent="0.25">
      <c r="A2687" s="7"/>
      <c r="B2687" s="2"/>
      <c r="C2687" s="56"/>
      <c r="D2687" s="8"/>
      <c r="E2687" s="8"/>
      <c r="F2687" s="8"/>
      <c r="G2687" s="2"/>
    </row>
    <row r="2688" spans="1:7" x14ac:dyDescent="0.25">
      <c r="A2688" s="7"/>
      <c r="B2688" s="2"/>
      <c r="C2688" s="56"/>
      <c r="D2688" s="8"/>
      <c r="E2688" s="8"/>
      <c r="F2688" s="8"/>
      <c r="G2688" s="2"/>
    </row>
    <row r="2689" spans="1:7" x14ac:dyDescent="0.25">
      <c r="A2689" s="7"/>
      <c r="B2689" s="2"/>
      <c r="C2689" s="56"/>
      <c r="D2689" s="8"/>
      <c r="E2689" s="8"/>
      <c r="F2689" s="8"/>
      <c r="G2689" s="2"/>
    </row>
    <row r="2690" spans="1:7" x14ac:dyDescent="0.25">
      <c r="A2690" s="7"/>
      <c r="B2690" s="2"/>
      <c r="C2690" s="56"/>
      <c r="D2690" s="8"/>
      <c r="E2690" s="8"/>
      <c r="F2690" s="8"/>
      <c r="G2690" s="2"/>
    </row>
    <row r="2691" spans="1:7" x14ac:dyDescent="0.25">
      <c r="A2691" s="7"/>
      <c r="B2691" s="2"/>
      <c r="C2691" s="56"/>
      <c r="D2691" s="8"/>
      <c r="E2691" s="8"/>
      <c r="F2691" s="8"/>
      <c r="G2691" s="2"/>
    </row>
    <row r="2692" spans="1:7" x14ac:dyDescent="0.25">
      <c r="A2692" s="7"/>
      <c r="B2692" s="2"/>
      <c r="C2692" s="56"/>
      <c r="D2692" s="8"/>
      <c r="E2692" s="8"/>
      <c r="F2692" s="8"/>
      <c r="G2692" s="2"/>
    </row>
    <row r="2693" spans="1:7" x14ac:dyDescent="0.25">
      <c r="A2693" s="7"/>
      <c r="B2693" s="2"/>
      <c r="C2693" s="56"/>
      <c r="D2693" s="8"/>
      <c r="E2693" s="8"/>
      <c r="F2693" s="8"/>
      <c r="G2693" s="2"/>
    </row>
    <row r="2694" spans="1:7" x14ac:dyDescent="0.25">
      <c r="A2694" s="7"/>
      <c r="B2694" s="2"/>
      <c r="C2694" s="56"/>
      <c r="D2694" s="8"/>
      <c r="E2694" s="8"/>
      <c r="F2694" s="8"/>
      <c r="G2694" s="2"/>
    </row>
    <row r="2695" spans="1:7" x14ac:dyDescent="0.25">
      <c r="A2695" s="7"/>
      <c r="B2695" s="2"/>
      <c r="C2695" s="56"/>
      <c r="D2695" s="8"/>
      <c r="E2695" s="8"/>
      <c r="F2695" s="8"/>
      <c r="G2695" s="2"/>
    </row>
    <row r="2696" spans="1:7" x14ac:dyDescent="0.25">
      <c r="A2696" s="7"/>
      <c r="B2696" s="2"/>
      <c r="C2696" s="56"/>
      <c r="D2696" s="8"/>
      <c r="E2696" s="8"/>
      <c r="F2696" s="8"/>
      <c r="G2696" s="2"/>
    </row>
    <row r="2697" spans="1:7" x14ac:dyDescent="0.25">
      <c r="A2697" s="7"/>
      <c r="B2697" s="2"/>
      <c r="C2697" s="56"/>
      <c r="D2697" s="8"/>
      <c r="E2697" s="8"/>
      <c r="F2697" s="8"/>
      <c r="G2697" s="2"/>
    </row>
    <row r="2698" spans="1:7" x14ac:dyDescent="0.25">
      <c r="A2698" s="7"/>
      <c r="B2698" s="2"/>
      <c r="C2698" s="56"/>
      <c r="D2698" s="8"/>
      <c r="E2698" s="8"/>
      <c r="F2698" s="8"/>
      <c r="G2698" s="2"/>
    </row>
    <row r="2699" spans="1:7" x14ac:dyDescent="0.25">
      <c r="A2699" s="7"/>
      <c r="B2699" s="2"/>
      <c r="C2699" s="56"/>
      <c r="D2699" s="8"/>
      <c r="E2699" s="8"/>
      <c r="F2699" s="8"/>
      <c r="G2699" s="2"/>
    </row>
    <row r="2700" spans="1:7" x14ac:dyDescent="0.25">
      <c r="A2700" s="7"/>
      <c r="B2700" s="2"/>
      <c r="C2700" s="56"/>
      <c r="D2700" s="8"/>
      <c r="E2700" s="8"/>
      <c r="F2700" s="8"/>
      <c r="G2700" s="2"/>
    </row>
    <row r="2701" spans="1:7" x14ac:dyDescent="0.25">
      <c r="A2701" s="7"/>
      <c r="B2701" s="2"/>
      <c r="C2701" s="56"/>
      <c r="D2701" s="8"/>
      <c r="E2701" s="8"/>
      <c r="F2701" s="8"/>
      <c r="G2701" s="2"/>
    </row>
    <row r="2702" spans="1:7" x14ac:dyDescent="0.25">
      <c r="A2702" s="7"/>
      <c r="B2702" s="2"/>
      <c r="C2702" s="56"/>
      <c r="D2702" s="8"/>
      <c r="E2702" s="8"/>
      <c r="F2702" s="8"/>
      <c r="G2702" s="2"/>
    </row>
    <row r="2703" spans="1:7" x14ac:dyDescent="0.25">
      <c r="A2703" s="7"/>
      <c r="B2703" s="2"/>
      <c r="C2703" s="56"/>
      <c r="D2703" s="8"/>
      <c r="E2703" s="8"/>
      <c r="F2703" s="8"/>
      <c r="G2703" s="2"/>
    </row>
    <row r="2704" spans="1:7" x14ac:dyDescent="0.25">
      <c r="A2704" s="7"/>
      <c r="B2704" s="2"/>
      <c r="C2704" s="56"/>
      <c r="D2704" s="8"/>
      <c r="E2704" s="8"/>
      <c r="F2704" s="8"/>
      <c r="G2704" s="2"/>
    </row>
    <row r="2705" spans="1:7" x14ac:dyDescent="0.25">
      <c r="A2705" s="7"/>
      <c r="B2705" s="2"/>
      <c r="C2705" s="56"/>
      <c r="D2705" s="8"/>
      <c r="E2705" s="8"/>
      <c r="F2705" s="8"/>
      <c r="G2705" s="2"/>
    </row>
    <row r="2706" spans="1:7" x14ac:dyDescent="0.25">
      <c r="A2706" s="7"/>
      <c r="B2706" s="2"/>
      <c r="C2706" s="56"/>
      <c r="D2706" s="8"/>
      <c r="E2706" s="8"/>
      <c r="F2706" s="8"/>
      <c r="G2706" s="2"/>
    </row>
    <row r="2707" spans="1:7" x14ac:dyDescent="0.25">
      <c r="A2707" s="7"/>
      <c r="B2707" s="2"/>
      <c r="C2707" s="56"/>
      <c r="D2707" s="8"/>
      <c r="E2707" s="8"/>
      <c r="F2707" s="8"/>
      <c r="G2707" s="2"/>
    </row>
    <row r="2708" spans="1:7" x14ac:dyDescent="0.25">
      <c r="A2708" s="7"/>
      <c r="B2708" s="2"/>
      <c r="C2708" s="56"/>
      <c r="D2708" s="8"/>
      <c r="E2708" s="8"/>
      <c r="F2708" s="8"/>
      <c r="G2708" s="2"/>
    </row>
    <row r="2709" spans="1:7" x14ac:dyDescent="0.25">
      <c r="A2709" s="7"/>
      <c r="B2709" s="2"/>
      <c r="C2709" s="56"/>
      <c r="D2709" s="8"/>
      <c r="E2709" s="8"/>
      <c r="F2709" s="8"/>
      <c r="G2709" s="2"/>
    </row>
    <row r="2710" spans="1:7" x14ac:dyDescent="0.25">
      <c r="A2710" s="7"/>
      <c r="B2710" s="2"/>
      <c r="C2710" s="56"/>
      <c r="D2710" s="8"/>
      <c r="E2710" s="8"/>
      <c r="F2710" s="8"/>
      <c r="G2710" s="2"/>
    </row>
    <row r="2711" spans="1:7" x14ac:dyDescent="0.25">
      <c r="A2711" s="7"/>
      <c r="B2711" s="2"/>
      <c r="C2711" s="56"/>
      <c r="D2711" s="8"/>
      <c r="E2711" s="8"/>
      <c r="F2711" s="8"/>
      <c r="G2711" s="2"/>
    </row>
    <row r="2712" spans="1:7" x14ac:dyDescent="0.25">
      <c r="A2712" s="7"/>
      <c r="B2712" s="2"/>
      <c r="C2712" s="56"/>
      <c r="D2712" s="8"/>
      <c r="E2712" s="8"/>
      <c r="F2712" s="8"/>
      <c r="G2712" s="2"/>
    </row>
    <row r="2713" spans="1:7" x14ac:dyDescent="0.25">
      <c r="A2713" s="7"/>
      <c r="B2713" s="2"/>
      <c r="C2713" s="56"/>
      <c r="D2713" s="8"/>
      <c r="E2713" s="8"/>
      <c r="F2713" s="8"/>
      <c r="G2713" s="2"/>
    </row>
    <row r="2714" spans="1:7" x14ac:dyDescent="0.25">
      <c r="A2714" s="7"/>
      <c r="B2714" s="2"/>
      <c r="C2714" s="56"/>
      <c r="D2714" s="8"/>
      <c r="E2714" s="8"/>
      <c r="F2714" s="8"/>
      <c r="G2714" s="2"/>
    </row>
    <row r="2715" spans="1:7" x14ac:dyDescent="0.25">
      <c r="A2715" s="7"/>
      <c r="B2715" s="2"/>
      <c r="C2715" s="56"/>
      <c r="D2715" s="8"/>
      <c r="E2715" s="8"/>
      <c r="F2715" s="8"/>
      <c r="G2715" s="2"/>
    </row>
    <row r="2716" spans="1:7" x14ac:dyDescent="0.25">
      <c r="A2716" s="7"/>
      <c r="B2716" s="2"/>
      <c r="C2716" s="56"/>
      <c r="D2716" s="8"/>
      <c r="E2716" s="8"/>
      <c r="F2716" s="8"/>
      <c r="G2716" s="2"/>
    </row>
    <row r="2717" spans="1:7" x14ac:dyDescent="0.25">
      <c r="A2717" s="7"/>
      <c r="B2717" s="2"/>
      <c r="C2717" s="56"/>
      <c r="D2717" s="8"/>
      <c r="E2717" s="8"/>
      <c r="F2717" s="8"/>
      <c r="G2717" s="2"/>
    </row>
    <row r="2718" spans="1:7" x14ac:dyDescent="0.25">
      <c r="A2718" s="7"/>
      <c r="B2718" s="2"/>
      <c r="C2718" s="56"/>
      <c r="D2718" s="8"/>
      <c r="E2718" s="8"/>
      <c r="F2718" s="8"/>
      <c r="G2718" s="2"/>
    </row>
    <row r="2719" spans="1:7" x14ac:dyDescent="0.25">
      <c r="A2719" s="7"/>
      <c r="B2719" s="2"/>
      <c r="C2719" s="56"/>
      <c r="D2719" s="8"/>
      <c r="E2719" s="8"/>
      <c r="F2719" s="8"/>
      <c r="G2719" s="2"/>
    </row>
    <row r="2720" spans="1:7" x14ac:dyDescent="0.25">
      <c r="A2720" s="7"/>
      <c r="B2720" s="2"/>
      <c r="C2720" s="56"/>
      <c r="D2720" s="8"/>
      <c r="E2720" s="8"/>
      <c r="F2720" s="8"/>
      <c r="G2720" s="2"/>
    </row>
    <row r="2721" spans="1:7" x14ac:dyDescent="0.25">
      <c r="A2721" s="7"/>
      <c r="B2721" s="2"/>
      <c r="C2721" s="56"/>
      <c r="D2721" s="8"/>
      <c r="E2721" s="8"/>
      <c r="F2721" s="8"/>
      <c r="G2721" s="2"/>
    </row>
    <row r="2722" spans="1:7" x14ac:dyDescent="0.25">
      <c r="A2722" s="7"/>
      <c r="B2722" s="2"/>
      <c r="C2722" s="56"/>
      <c r="D2722" s="8"/>
      <c r="E2722" s="8"/>
      <c r="F2722" s="8"/>
      <c r="G2722" s="2"/>
    </row>
    <row r="2723" spans="1:7" x14ac:dyDescent="0.25">
      <c r="A2723" s="7"/>
      <c r="B2723" s="2"/>
      <c r="C2723" s="56"/>
      <c r="D2723" s="8"/>
      <c r="E2723" s="8"/>
      <c r="F2723" s="8"/>
      <c r="G2723" s="2"/>
    </row>
    <row r="2724" spans="1:7" x14ac:dyDescent="0.25">
      <c r="A2724" s="7"/>
      <c r="B2724" s="2"/>
      <c r="C2724" s="56"/>
      <c r="D2724" s="8"/>
      <c r="E2724" s="8"/>
      <c r="F2724" s="8"/>
      <c r="G2724" s="2"/>
    </row>
    <row r="2725" spans="1:7" x14ac:dyDescent="0.25">
      <c r="A2725" s="7"/>
      <c r="B2725" s="2"/>
      <c r="C2725" s="56"/>
      <c r="D2725" s="8"/>
      <c r="E2725" s="8"/>
      <c r="F2725" s="8"/>
      <c r="G2725" s="2"/>
    </row>
    <row r="2726" spans="1:7" x14ac:dyDescent="0.25">
      <c r="A2726" s="7"/>
      <c r="B2726" s="2"/>
      <c r="C2726" s="56"/>
      <c r="D2726" s="8"/>
      <c r="E2726" s="8"/>
      <c r="F2726" s="8"/>
      <c r="G2726" s="2"/>
    </row>
    <row r="2727" spans="1:7" x14ac:dyDescent="0.25">
      <c r="A2727" s="7"/>
      <c r="B2727" s="2"/>
      <c r="C2727" s="56"/>
      <c r="D2727" s="8"/>
      <c r="E2727" s="8"/>
      <c r="F2727" s="8"/>
      <c r="G2727" s="2"/>
    </row>
    <row r="2728" spans="1:7" x14ac:dyDescent="0.25">
      <c r="A2728" s="7"/>
      <c r="B2728" s="2"/>
      <c r="C2728" s="56"/>
      <c r="D2728" s="8"/>
      <c r="E2728" s="8"/>
      <c r="F2728" s="8"/>
      <c r="G2728" s="2"/>
    </row>
    <row r="2729" spans="1:7" x14ac:dyDescent="0.25">
      <c r="A2729" s="7"/>
      <c r="B2729" s="2"/>
      <c r="C2729" s="56"/>
      <c r="D2729" s="8"/>
      <c r="E2729" s="8"/>
      <c r="F2729" s="8"/>
      <c r="G2729" s="2"/>
    </row>
    <row r="2730" spans="1:7" x14ac:dyDescent="0.25">
      <c r="A2730" s="7"/>
      <c r="B2730" s="2"/>
      <c r="C2730" s="56"/>
      <c r="D2730" s="8"/>
      <c r="E2730" s="8"/>
      <c r="F2730" s="8"/>
      <c r="G2730" s="2"/>
    </row>
    <row r="2731" spans="1:7" x14ac:dyDescent="0.25">
      <c r="A2731" s="7"/>
      <c r="B2731" s="2"/>
      <c r="C2731" s="56"/>
      <c r="D2731" s="8"/>
      <c r="E2731" s="8"/>
      <c r="F2731" s="8"/>
      <c r="G2731" s="2"/>
    </row>
    <row r="2732" spans="1:7" x14ac:dyDescent="0.25">
      <c r="A2732" s="7"/>
      <c r="B2732" s="2"/>
      <c r="C2732" s="56"/>
      <c r="D2732" s="8"/>
      <c r="E2732" s="8"/>
      <c r="F2732" s="8"/>
      <c r="G2732" s="2"/>
    </row>
    <row r="2733" spans="1:7" x14ac:dyDescent="0.25">
      <c r="A2733" s="7"/>
      <c r="B2733" s="2"/>
      <c r="C2733" s="56"/>
      <c r="D2733" s="8"/>
      <c r="E2733" s="8"/>
      <c r="F2733" s="8"/>
      <c r="G2733" s="2"/>
    </row>
    <row r="2734" spans="1:7" x14ac:dyDescent="0.25">
      <c r="A2734" s="7"/>
      <c r="B2734" s="2"/>
      <c r="C2734" s="56"/>
      <c r="D2734" s="8"/>
      <c r="E2734" s="8"/>
      <c r="F2734" s="8"/>
      <c r="G2734" s="2"/>
    </row>
    <row r="2735" spans="1:7" x14ac:dyDescent="0.25">
      <c r="A2735" s="7"/>
      <c r="B2735" s="2"/>
      <c r="C2735" s="56"/>
      <c r="D2735" s="8"/>
      <c r="E2735" s="8"/>
      <c r="F2735" s="8"/>
      <c r="G2735" s="2"/>
    </row>
    <row r="2736" spans="1:7" x14ac:dyDescent="0.25">
      <c r="A2736" s="7"/>
      <c r="B2736" s="2"/>
      <c r="C2736" s="56"/>
      <c r="D2736" s="8"/>
      <c r="E2736" s="8"/>
      <c r="F2736" s="8"/>
      <c r="G2736" s="2"/>
    </row>
    <row r="2737" spans="1:7" x14ac:dyDescent="0.25">
      <c r="A2737" s="7"/>
      <c r="B2737" s="2"/>
      <c r="C2737" s="56"/>
      <c r="D2737" s="8"/>
      <c r="E2737" s="8"/>
      <c r="F2737" s="8"/>
      <c r="G2737" s="2"/>
    </row>
    <row r="2738" spans="1:7" x14ac:dyDescent="0.25">
      <c r="A2738" s="7"/>
      <c r="B2738" s="2"/>
      <c r="C2738" s="56"/>
      <c r="D2738" s="8"/>
      <c r="E2738" s="8"/>
      <c r="F2738" s="8"/>
      <c r="G2738" s="2"/>
    </row>
    <row r="2739" spans="1:7" x14ac:dyDescent="0.25">
      <c r="A2739" s="7"/>
      <c r="B2739" s="2"/>
      <c r="C2739" s="56"/>
      <c r="D2739" s="8"/>
      <c r="E2739" s="8"/>
      <c r="F2739" s="8"/>
      <c r="G2739" s="2"/>
    </row>
    <row r="2740" spans="1:7" x14ac:dyDescent="0.25">
      <c r="A2740" s="7"/>
      <c r="B2740" s="2"/>
      <c r="C2740" s="56"/>
      <c r="D2740" s="8"/>
      <c r="E2740" s="8"/>
      <c r="F2740" s="8"/>
      <c r="G2740" s="2"/>
    </row>
    <row r="2741" spans="1:7" x14ac:dyDescent="0.25">
      <c r="A2741" s="7"/>
      <c r="B2741" s="2"/>
      <c r="C2741" s="56"/>
      <c r="D2741" s="8"/>
      <c r="E2741" s="8"/>
      <c r="F2741" s="8"/>
      <c r="G2741" s="2"/>
    </row>
    <row r="2742" spans="1:7" x14ac:dyDescent="0.25">
      <c r="A2742" s="7"/>
      <c r="B2742" s="2"/>
      <c r="C2742" s="56"/>
      <c r="D2742" s="8"/>
      <c r="E2742" s="8"/>
      <c r="F2742" s="8"/>
      <c r="G2742" s="2"/>
    </row>
    <row r="2743" spans="1:7" x14ac:dyDescent="0.25">
      <c r="A2743" s="7"/>
      <c r="B2743" s="2"/>
      <c r="C2743" s="56"/>
      <c r="D2743" s="8"/>
      <c r="E2743" s="8"/>
      <c r="F2743" s="8"/>
      <c r="G2743" s="2"/>
    </row>
    <row r="2744" spans="1:7" x14ac:dyDescent="0.25">
      <c r="A2744" s="7"/>
      <c r="B2744" s="2"/>
      <c r="C2744" s="56"/>
      <c r="D2744" s="8"/>
      <c r="E2744" s="8"/>
      <c r="F2744" s="8"/>
      <c r="G2744" s="2"/>
    </row>
    <row r="2745" spans="1:7" x14ac:dyDescent="0.25">
      <c r="A2745" s="7"/>
      <c r="B2745" s="2"/>
      <c r="C2745" s="56"/>
      <c r="D2745" s="8"/>
      <c r="E2745" s="8"/>
      <c r="F2745" s="8"/>
      <c r="G2745" s="2"/>
    </row>
    <row r="2746" spans="1:7" x14ac:dyDescent="0.25">
      <c r="A2746" s="7"/>
      <c r="B2746" s="2"/>
      <c r="C2746" s="56"/>
      <c r="D2746" s="8"/>
      <c r="E2746" s="8"/>
      <c r="F2746" s="8"/>
      <c r="G2746" s="2"/>
    </row>
    <row r="2747" spans="1:7" x14ac:dyDescent="0.25">
      <c r="A2747" s="7"/>
      <c r="B2747" s="2"/>
      <c r="C2747" s="56"/>
      <c r="D2747" s="8"/>
      <c r="E2747" s="8"/>
      <c r="F2747" s="8"/>
      <c r="G2747" s="2"/>
    </row>
    <row r="2748" spans="1:7" x14ac:dyDescent="0.25">
      <c r="A2748" s="7"/>
      <c r="B2748" s="2"/>
      <c r="C2748" s="56"/>
      <c r="D2748" s="8"/>
      <c r="E2748" s="8"/>
      <c r="F2748" s="8"/>
      <c r="G2748" s="2"/>
    </row>
    <row r="2749" spans="1:7" x14ac:dyDescent="0.25">
      <c r="A2749" s="7"/>
      <c r="B2749" s="2"/>
      <c r="C2749" s="56"/>
      <c r="D2749" s="8"/>
      <c r="E2749" s="8"/>
      <c r="F2749" s="8"/>
      <c r="G2749" s="2"/>
    </row>
    <row r="2750" spans="1:7" x14ac:dyDescent="0.25">
      <c r="A2750" s="7"/>
      <c r="B2750" s="2"/>
      <c r="C2750" s="56"/>
      <c r="D2750" s="8"/>
      <c r="E2750" s="8"/>
      <c r="F2750" s="8"/>
      <c r="G2750" s="2"/>
    </row>
    <row r="2751" spans="1:7" x14ac:dyDescent="0.25">
      <c r="A2751" s="7"/>
      <c r="B2751" s="2"/>
      <c r="C2751" s="56"/>
      <c r="D2751" s="8"/>
      <c r="E2751" s="8"/>
      <c r="F2751" s="8"/>
      <c r="G2751" s="2"/>
    </row>
    <row r="2752" spans="1:7" x14ac:dyDescent="0.25">
      <c r="A2752" s="7"/>
      <c r="B2752" s="2"/>
      <c r="C2752" s="56"/>
      <c r="D2752" s="8"/>
      <c r="E2752" s="8"/>
      <c r="F2752" s="8"/>
      <c r="G2752" s="2"/>
    </row>
    <row r="2753" spans="1:7" x14ac:dyDescent="0.25">
      <c r="A2753" s="7"/>
      <c r="B2753" s="2"/>
      <c r="C2753" s="56"/>
      <c r="D2753" s="8"/>
      <c r="E2753" s="8"/>
      <c r="F2753" s="8"/>
      <c r="G2753" s="2"/>
    </row>
    <row r="2754" spans="1:7" x14ac:dyDescent="0.25">
      <c r="A2754" s="7"/>
      <c r="B2754" s="2"/>
      <c r="C2754" s="56"/>
      <c r="D2754" s="8"/>
      <c r="E2754" s="8"/>
      <c r="F2754" s="8"/>
      <c r="G2754" s="2"/>
    </row>
    <row r="2755" spans="1:7" x14ac:dyDescent="0.25">
      <c r="A2755" s="7"/>
      <c r="B2755" s="2"/>
      <c r="C2755" s="56"/>
      <c r="D2755" s="8"/>
      <c r="E2755" s="8"/>
      <c r="F2755" s="8"/>
      <c r="G2755" s="2"/>
    </row>
    <row r="2756" spans="1:7" x14ac:dyDescent="0.25">
      <c r="A2756" s="7"/>
      <c r="B2756" s="2"/>
      <c r="C2756" s="56"/>
      <c r="D2756" s="8"/>
      <c r="E2756" s="8"/>
      <c r="F2756" s="8"/>
      <c r="G2756" s="2"/>
    </row>
    <row r="2757" spans="1:7" x14ac:dyDescent="0.25">
      <c r="A2757" s="7"/>
      <c r="B2757" s="2"/>
      <c r="C2757" s="56"/>
      <c r="D2757" s="8"/>
      <c r="E2757" s="8"/>
      <c r="F2757" s="8"/>
      <c r="G2757" s="2"/>
    </row>
    <row r="2758" spans="1:7" x14ac:dyDescent="0.25">
      <c r="A2758" s="7"/>
      <c r="B2758" s="2"/>
      <c r="C2758" s="56"/>
      <c r="D2758" s="8"/>
      <c r="E2758" s="8"/>
      <c r="F2758" s="8"/>
      <c r="G2758" s="2"/>
    </row>
    <row r="2759" spans="1:7" x14ac:dyDescent="0.25">
      <c r="A2759" s="7"/>
      <c r="B2759" s="2"/>
      <c r="C2759" s="56"/>
      <c r="D2759" s="8"/>
      <c r="E2759" s="8"/>
      <c r="F2759" s="8"/>
      <c r="G2759" s="2"/>
    </row>
    <row r="2760" spans="1:7" x14ac:dyDescent="0.25">
      <c r="A2760" s="7"/>
      <c r="B2760" s="2"/>
      <c r="C2760" s="56"/>
      <c r="D2760" s="8"/>
      <c r="E2760" s="8"/>
      <c r="F2760" s="8"/>
      <c r="G2760" s="2"/>
    </row>
    <row r="2761" spans="1:7" x14ac:dyDescent="0.25">
      <c r="A2761" s="7"/>
      <c r="B2761" s="2"/>
      <c r="C2761" s="56"/>
      <c r="D2761" s="8"/>
      <c r="E2761" s="8"/>
      <c r="F2761" s="8"/>
      <c r="G2761" s="2"/>
    </row>
    <row r="2762" spans="1:7" x14ac:dyDescent="0.25">
      <c r="A2762" s="7"/>
      <c r="B2762" s="2"/>
      <c r="C2762" s="56"/>
      <c r="D2762" s="8"/>
      <c r="E2762" s="8"/>
      <c r="F2762" s="8"/>
      <c r="G2762" s="2"/>
    </row>
    <row r="2763" spans="1:7" x14ac:dyDescent="0.25">
      <c r="A2763" s="7"/>
      <c r="B2763" s="2"/>
      <c r="C2763" s="56"/>
      <c r="D2763" s="8"/>
      <c r="E2763" s="8"/>
      <c r="F2763" s="8"/>
      <c r="G2763" s="2"/>
    </row>
    <row r="2764" spans="1:7" x14ac:dyDescent="0.25">
      <c r="A2764" s="7"/>
      <c r="B2764" s="2"/>
      <c r="C2764" s="56"/>
      <c r="D2764" s="8"/>
      <c r="E2764" s="8"/>
      <c r="F2764" s="8"/>
      <c r="G2764" s="2"/>
    </row>
    <row r="2765" spans="1:7" x14ac:dyDescent="0.25">
      <c r="A2765" s="7"/>
      <c r="B2765" s="2"/>
      <c r="C2765" s="56"/>
      <c r="D2765" s="8"/>
      <c r="E2765" s="8"/>
      <c r="F2765" s="8"/>
      <c r="G2765" s="2"/>
    </row>
    <row r="2766" spans="1:7" x14ac:dyDescent="0.25">
      <c r="A2766" s="7"/>
      <c r="B2766" s="2"/>
      <c r="C2766" s="56"/>
      <c r="D2766" s="8"/>
      <c r="E2766" s="8"/>
      <c r="F2766" s="8"/>
      <c r="G2766" s="2"/>
    </row>
    <row r="2767" spans="1:7" x14ac:dyDescent="0.25">
      <c r="A2767" s="7"/>
      <c r="B2767" s="2"/>
      <c r="C2767" s="56"/>
      <c r="D2767" s="8"/>
      <c r="E2767" s="8"/>
      <c r="F2767" s="8"/>
      <c r="G2767" s="2"/>
    </row>
    <row r="2768" spans="1:7" x14ac:dyDescent="0.25">
      <c r="A2768" s="7"/>
      <c r="B2768" s="2"/>
      <c r="C2768" s="56"/>
      <c r="D2768" s="8"/>
      <c r="E2768" s="8"/>
      <c r="F2768" s="8"/>
      <c r="G2768" s="2"/>
    </row>
    <row r="2769" spans="1:7" x14ac:dyDescent="0.25">
      <c r="A2769" s="7"/>
      <c r="B2769" s="2"/>
      <c r="C2769" s="56"/>
      <c r="D2769" s="8"/>
      <c r="E2769" s="8"/>
      <c r="F2769" s="8"/>
      <c r="G2769" s="2"/>
    </row>
    <row r="2770" spans="1:7" x14ac:dyDescent="0.25">
      <c r="A2770" s="7"/>
      <c r="B2770" s="2"/>
      <c r="C2770" s="56"/>
      <c r="D2770" s="8"/>
      <c r="E2770" s="8"/>
      <c r="F2770" s="8"/>
      <c r="G2770" s="2"/>
    </row>
    <row r="2771" spans="1:7" x14ac:dyDescent="0.25">
      <c r="A2771" s="7"/>
      <c r="B2771" s="2"/>
      <c r="C2771" s="56"/>
      <c r="D2771" s="8"/>
      <c r="E2771" s="8"/>
      <c r="F2771" s="8"/>
      <c r="G2771" s="2"/>
    </row>
    <row r="2772" spans="1:7" x14ac:dyDescent="0.25">
      <c r="A2772" s="7"/>
      <c r="B2772" s="2"/>
      <c r="C2772" s="56"/>
      <c r="D2772" s="8"/>
      <c r="E2772" s="8"/>
      <c r="F2772" s="8"/>
      <c r="G2772" s="2"/>
    </row>
    <row r="2773" spans="1:7" x14ac:dyDescent="0.25">
      <c r="A2773" s="7"/>
      <c r="B2773" s="2"/>
      <c r="C2773" s="56"/>
      <c r="D2773" s="8"/>
      <c r="E2773" s="8"/>
      <c r="F2773" s="8"/>
      <c r="G2773" s="2"/>
    </row>
    <row r="2774" spans="1:7" x14ac:dyDescent="0.25">
      <c r="A2774" s="7"/>
      <c r="B2774" s="2"/>
      <c r="C2774" s="56"/>
      <c r="D2774" s="8"/>
      <c r="E2774" s="8"/>
      <c r="F2774" s="8"/>
      <c r="G2774" s="2"/>
    </row>
    <row r="2775" spans="1:7" x14ac:dyDescent="0.25">
      <c r="A2775" s="7"/>
      <c r="B2775" s="2"/>
      <c r="C2775" s="56"/>
      <c r="D2775" s="8"/>
      <c r="E2775" s="8"/>
      <c r="F2775" s="8"/>
      <c r="G2775" s="2"/>
    </row>
    <row r="2776" spans="1:7" x14ac:dyDescent="0.25">
      <c r="A2776" s="7"/>
      <c r="B2776" s="2"/>
      <c r="C2776" s="56"/>
      <c r="D2776" s="8"/>
      <c r="E2776" s="8"/>
      <c r="F2776" s="8"/>
      <c r="G2776" s="2"/>
    </row>
    <row r="2777" spans="1:7" x14ac:dyDescent="0.25">
      <c r="A2777" s="7"/>
      <c r="B2777" s="2"/>
      <c r="C2777" s="56"/>
      <c r="D2777" s="8"/>
      <c r="E2777" s="8"/>
      <c r="F2777" s="8"/>
      <c r="G2777" s="2"/>
    </row>
    <row r="2778" spans="1:7" x14ac:dyDescent="0.25">
      <c r="A2778" s="7"/>
      <c r="B2778" s="2"/>
      <c r="C2778" s="56"/>
      <c r="D2778" s="8"/>
      <c r="E2778" s="8"/>
      <c r="F2778" s="8"/>
      <c r="G2778" s="2"/>
    </row>
    <row r="2779" spans="1:7" x14ac:dyDescent="0.25">
      <c r="A2779" s="7"/>
      <c r="B2779" s="2"/>
      <c r="C2779" s="56"/>
      <c r="D2779" s="8"/>
      <c r="E2779" s="8"/>
      <c r="F2779" s="8"/>
      <c r="G2779" s="2"/>
    </row>
    <row r="2780" spans="1:7" x14ac:dyDescent="0.25">
      <c r="A2780" s="7"/>
      <c r="B2780" s="2"/>
      <c r="C2780" s="56"/>
      <c r="D2780" s="8"/>
      <c r="E2780" s="8"/>
      <c r="F2780" s="8"/>
      <c r="G2780" s="2"/>
    </row>
    <row r="2781" spans="1:7" x14ac:dyDescent="0.25">
      <c r="A2781" s="7"/>
      <c r="B2781" s="2"/>
      <c r="C2781" s="56"/>
      <c r="D2781" s="8"/>
      <c r="E2781" s="8"/>
      <c r="F2781" s="8"/>
      <c r="G2781" s="2"/>
    </row>
    <row r="2782" spans="1:7" x14ac:dyDescent="0.25">
      <c r="A2782" s="7"/>
      <c r="B2782" s="2"/>
      <c r="C2782" s="56"/>
      <c r="D2782" s="8"/>
      <c r="E2782" s="8"/>
      <c r="F2782" s="8"/>
      <c r="G2782" s="2"/>
    </row>
    <row r="2783" spans="1:7" x14ac:dyDescent="0.25">
      <c r="A2783" s="7"/>
      <c r="B2783" s="2"/>
      <c r="C2783" s="56"/>
      <c r="D2783" s="8"/>
      <c r="E2783" s="8"/>
      <c r="F2783" s="8"/>
      <c r="G2783" s="2"/>
    </row>
    <row r="2784" spans="1:7" x14ac:dyDescent="0.25">
      <c r="A2784" s="7"/>
      <c r="B2784" s="2"/>
      <c r="C2784" s="56"/>
      <c r="D2784" s="8"/>
      <c r="E2784" s="8"/>
      <c r="F2784" s="8"/>
      <c r="G2784" s="2"/>
    </row>
    <row r="2785" spans="1:7" x14ac:dyDescent="0.25">
      <c r="A2785" s="7"/>
      <c r="B2785" s="2"/>
      <c r="C2785" s="56"/>
      <c r="D2785" s="8"/>
      <c r="E2785" s="8"/>
      <c r="F2785" s="8"/>
      <c r="G2785" s="2"/>
    </row>
    <row r="2786" spans="1:7" x14ac:dyDescent="0.25">
      <c r="A2786" s="7"/>
      <c r="B2786" s="2"/>
      <c r="C2786" s="56"/>
      <c r="D2786" s="8"/>
      <c r="E2786" s="8"/>
      <c r="F2786" s="8"/>
      <c r="G2786" s="2"/>
    </row>
    <row r="2787" spans="1:7" x14ac:dyDescent="0.25">
      <c r="A2787" s="7"/>
      <c r="B2787" s="2"/>
      <c r="C2787" s="56"/>
      <c r="D2787" s="8"/>
      <c r="E2787" s="8"/>
      <c r="F2787" s="8"/>
      <c r="G2787" s="2"/>
    </row>
    <row r="2788" spans="1:7" x14ac:dyDescent="0.25">
      <c r="A2788" s="7"/>
      <c r="B2788" s="2"/>
      <c r="C2788" s="56"/>
      <c r="D2788" s="8"/>
      <c r="E2788" s="8"/>
      <c r="F2788" s="8"/>
      <c r="G2788" s="2"/>
    </row>
    <row r="2789" spans="1:7" x14ac:dyDescent="0.25">
      <c r="A2789" s="7"/>
      <c r="B2789" s="2"/>
      <c r="C2789" s="56"/>
      <c r="D2789" s="8"/>
      <c r="E2789" s="8"/>
      <c r="F2789" s="8"/>
      <c r="G2789" s="2"/>
    </row>
    <row r="2790" spans="1:7" x14ac:dyDescent="0.25">
      <c r="A2790" s="7"/>
      <c r="B2790" s="2"/>
      <c r="C2790" s="56"/>
      <c r="D2790" s="8"/>
      <c r="E2790" s="8"/>
      <c r="F2790" s="8"/>
      <c r="G2790" s="2"/>
    </row>
    <row r="2791" spans="1:7" x14ac:dyDescent="0.25">
      <c r="A2791" s="7"/>
      <c r="B2791" s="2"/>
      <c r="C2791" s="56"/>
      <c r="D2791" s="8"/>
      <c r="E2791" s="8"/>
      <c r="F2791" s="8"/>
      <c r="G2791" s="2"/>
    </row>
    <row r="2792" spans="1:7" x14ac:dyDescent="0.25">
      <c r="A2792" s="7"/>
      <c r="B2792" s="2"/>
      <c r="C2792" s="56"/>
      <c r="D2792" s="8"/>
      <c r="E2792" s="8"/>
      <c r="F2792" s="8"/>
      <c r="G2792" s="2"/>
    </row>
    <row r="2793" spans="1:7" x14ac:dyDescent="0.25">
      <c r="A2793" s="7"/>
      <c r="B2793" s="2"/>
      <c r="C2793" s="56"/>
      <c r="D2793" s="8"/>
      <c r="E2793" s="8"/>
      <c r="F2793" s="8"/>
      <c r="G2793" s="2"/>
    </row>
    <row r="2794" spans="1:7" x14ac:dyDescent="0.25">
      <c r="A2794" s="7"/>
      <c r="B2794" s="2"/>
      <c r="C2794" s="56"/>
      <c r="D2794" s="8"/>
      <c r="E2794" s="8"/>
      <c r="F2794" s="8"/>
      <c r="G2794" s="2"/>
    </row>
    <row r="2795" spans="1:7" x14ac:dyDescent="0.25">
      <c r="A2795" s="7"/>
      <c r="B2795" s="2"/>
      <c r="C2795" s="56"/>
      <c r="D2795" s="8"/>
      <c r="E2795" s="8"/>
      <c r="F2795" s="8"/>
      <c r="G2795" s="2"/>
    </row>
    <row r="2796" spans="1:7" x14ac:dyDescent="0.25">
      <c r="A2796" s="7"/>
      <c r="B2796" s="2"/>
      <c r="C2796" s="56"/>
      <c r="D2796" s="8"/>
      <c r="E2796" s="8"/>
      <c r="F2796" s="8"/>
      <c r="G2796" s="2"/>
    </row>
    <row r="2797" spans="1:7" x14ac:dyDescent="0.25">
      <c r="A2797" s="7"/>
      <c r="B2797" s="2"/>
      <c r="C2797" s="56"/>
      <c r="D2797" s="8"/>
      <c r="E2797" s="8"/>
      <c r="F2797" s="8"/>
      <c r="G2797" s="2"/>
    </row>
    <row r="2798" spans="1:7" x14ac:dyDescent="0.25">
      <c r="A2798" s="7"/>
      <c r="B2798" s="2"/>
      <c r="C2798" s="56"/>
      <c r="D2798" s="8"/>
      <c r="E2798" s="8"/>
      <c r="F2798" s="8"/>
      <c r="G2798" s="2"/>
    </row>
    <row r="2799" spans="1:7" x14ac:dyDescent="0.25">
      <c r="A2799" s="7"/>
      <c r="B2799" s="2"/>
      <c r="C2799" s="56"/>
      <c r="D2799" s="8"/>
      <c r="E2799" s="8"/>
      <c r="F2799" s="8"/>
      <c r="G2799" s="2"/>
    </row>
    <row r="2800" spans="1:7" x14ac:dyDescent="0.25">
      <c r="A2800" s="7"/>
      <c r="B2800" s="2"/>
      <c r="C2800" s="56"/>
      <c r="D2800" s="8"/>
      <c r="E2800" s="8"/>
      <c r="F2800" s="8"/>
      <c r="G2800" s="2"/>
    </row>
    <row r="2801" spans="1:7" x14ac:dyDescent="0.25">
      <c r="A2801" s="7"/>
      <c r="B2801" s="2"/>
      <c r="C2801" s="56"/>
      <c r="D2801" s="8"/>
      <c r="E2801" s="8"/>
      <c r="F2801" s="8"/>
      <c r="G2801" s="2"/>
    </row>
    <row r="2802" spans="1:7" x14ac:dyDescent="0.25">
      <c r="A2802" s="7"/>
      <c r="B2802" s="2"/>
      <c r="C2802" s="56"/>
      <c r="D2802" s="8"/>
      <c r="E2802" s="8"/>
      <c r="F2802" s="8"/>
      <c r="G2802" s="2"/>
    </row>
    <row r="2803" spans="1:7" x14ac:dyDescent="0.25">
      <c r="A2803" s="7"/>
      <c r="B2803" s="2"/>
      <c r="C2803" s="56"/>
      <c r="D2803" s="8"/>
      <c r="E2803" s="8"/>
      <c r="F2803" s="8"/>
      <c r="G2803" s="2"/>
    </row>
    <row r="2804" spans="1:7" x14ac:dyDescent="0.25">
      <c r="A2804" s="7"/>
      <c r="B2804" s="2"/>
      <c r="C2804" s="56"/>
      <c r="D2804" s="8"/>
      <c r="E2804" s="8"/>
      <c r="F2804" s="8"/>
      <c r="G2804" s="2"/>
    </row>
    <row r="2805" spans="1:7" x14ac:dyDescent="0.25">
      <c r="A2805" s="7"/>
      <c r="B2805" s="2"/>
      <c r="C2805" s="56"/>
      <c r="D2805" s="8"/>
      <c r="E2805" s="8"/>
      <c r="F2805" s="8"/>
      <c r="G2805" s="2"/>
    </row>
    <row r="2806" spans="1:7" x14ac:dyDescent="0.25">
      <c r="A2806" s="7"/>
      <c r="B2806" s="2"/>
      <c r="C2806" s="56"/>
      <c r="D2806" s="8"/>
      <c r="E2806" s="8"/>
      <c r="F2806" s="8"/>
      <c r="G2806" s="2"/>
    </row>
    <row r="2807" spans="1:7" x14ac:dyDescent="0.25">
      <c r="A2807" s="7"/>
      <c r="B2807" s="2"/>
      <c r="C2807" s="56"/>
      <c r="D2807" s="8"/>
      <c r="E2807" s="8"/>
      <c r="F2807" s="8"/>
      <c r="G2807" s="2"/>
    </row>
    <row r="2808" spans="1:7" x14ac:dyDescent="0.25">
      <c r="A2808" s="7"/>
      <c r="B2808" s="2"/>
      <c r="C2808" s="56"/>
      <c r="D2808" s="8"/>
      <c r="E2808" s="8"/>
      <c r="F2808" s="8"/>
      <c r="G2808" s="2"/>
    </row>
    <row r="2809" spans="1:7" x14ac:dyDescent="0.25">
      <c r="A2809" s="7"/>
      <c r="B2809" s="2"/>
      <c r="C2809" s="56"/>
      <c r="D2809" s="8"/>
      <c r="E2809" s="8"/>
      <c r="F2809" s="8"/>
      <c r="G2809" s="2"/>
    </row>
    <row r="2810" spans="1:7" x14ac:dyDescent="0.25">
      <c r="A2810" s="7"/>
      <c r="B2810" s="2"/>
      <c r="C2810" s="56"/>
      <c r="D2810" s="8"/>
      <c r="E2810" s="8"/>
      <c r="F2810" s="8"/>
      <c r="G2810" s="2"/>
    </row>
    <row r="2811" spans="1:7" x14ac:dyDescent="0.25">
      <c r="A2811" s="7"/>
      <c r="B2811" s="2"/>
      <c r="C2811" s="56"/>
      <c r="D2811" s="8"/>
      <c r="E2811" s="8"/>
      <c r="F2811" s="8"/>
      <c r="G2811" s="2"/>
    </row>
    <row r="2812" spans="1:7" x14ac:dyDescent="0.25">
      <c r="A2812" s="7"/>
      <c r="B2812" s="2"/>
      <c r="C2812" s="56"/>
      <c r="D2812" s="8"/>
      <c r="E2812" s="8"/>
      <c r="F2812" s="8"/>
      <c r="G2812" s="2"/>
    </row>
    <row r="2813" spans="1:7" x14ac:dyDescent="0.25">
      <c r="A2813" s="7"/>
      <c r="B2813" s="2"/>
      <c r="C2813" s="56"/>
      <c r="D2813" s="8"/>
      <c r="E2813" s="8"/>
      <c r="F2813" s="8"/>
      <c r="G2813" s="2"/>
    </row>
    <row r="2814" spans="1:7" x14ac:dyDescent="0.25">
      <c r="A2814" s="7"/>
      <c r="B2814" s="2"/>
      <c r="C2814" s="56"/>
      <c r="D2814" s="8"/>
      <c r="E2814" s="8"/>
      <c r="F2814" s="8"/>
      <c r="G2814" s="2"/>
    </row>
    <row r="2815" spans="1:7" x14ac:dyDescent="0.25">
      <c r="A2815" s="7"/>
      <c r="B2815" s="2"/>
      <c r="C2815" s="56"/>
      <c r="D2815" s="8"/>
      <c r="E2815" s="8"/>
      <c r="F2815" s="8"/>
      <c r="G2815" s="2"/>
    </row>
    <row r="2816" spans="1:7" x14ac:dyDescent="0.25">
      <c r="A2816" s="7"/>
      <c r="B2816" s="2"/>
      <c r="C2816" s="56"/>
      <c r="D2816" s="8"/>
      <c r="E2816" s="8"/>
      <c r="F2816" s="8"/>
      <c r="G2816" s="2"/>
    </row>
    <row r="2817" spans="1:7" x14ac:dyDescent="0.25">
      <c r="A2817" s="7"/>
      <c r="B2817" s="2"/>
      <c r="C2817" s="56"/>
      <c r="D2817" s="8"/>
      <c r="E2817" s="8"/>
      <c r="F2817" s="8"/>
      <c r="G2817" s="2"/>
    </row>
    <row r="2818" spans="1:7" x14ac:dyDescent="0.25">
      <c r="A2818" s="7"/>
      <c r="B2818" s="2"/>
      <c r="C2818" s="56"/>
      <c r="D2818" s="8"/>
      <c r="E2818" s="8"/>
      <c r="F2818" s="8"/>
      <c r="G2818" s="2"/>
    </row>
    <row r="2819" spans="1:7" x14ac:dyDescent="0.25">
      <c r="A2819" s="7"/>
      <c r="B2819" s="2"/>
      <c r="C2819" s="56"/>
      <c r="D2819" s="8"/>
      <c r="E2819" s="8"/>
      <c r="F2819" s="8"/>
      <c r="G2819" s="2"/>
    </row>
    <row r="2820" spans="1:7" x14ac:dyDescent="0.25">
      <c r="A2820" s="7"/>
      <c r="B2820" s="2"/>
      <c r="C2820" s="56"/>
      <c r="D2820" s="8"/>
      <c r="E2820" s="8"/>
      <c r="F2820" s="8"/>
      <c r="G2820" s="2"/>
    </row>
    <row r="2821" spans="1:7" x14ac:dyDescent="0.25">
      <c r="A2821" s="7"/>
      <c r="B2821" s="2"/>
      <c r="C2821" s="56"/>
      <c r="D2821" s="8"/>
      <c r="E2821" s="8"/>
      <c r="F2821" s="8"/>
      <c r="G2821" s="2"/>
    </row>
    <row r="2822" spans="1:7" x14ac:dyDescent="0.25">
      <c r="A2822" s="7"/>
      <c r="B2822" s="2"/>
      <c r="C2822" s="56"/>
      <c r="D2822" s="8"/>
      <c r="E2822" s="8"/>
      <c r="F2822" s="8"/>
      <c r="G2822" s="2"/>
    </row>
    <row r="2823" spans="1:7" x14ac:dyDescent="0.25">
      <c r="A2823" s="7"/>
      <c r="B2823" s="2"/>
      <c r="C2823" s="56"/>
      <c r="D2823" s="8"/>
      <c r="E2823" s="8"/>
      <c r="F2823" s="8"/>
      <c r="G2823" s="2"/>
    </row>
    <row r="2824" spans="1:7" x14ac:dyDescent="0.25">
      <c r="A2824" s="7"/>
      <c r="B2824" s="2"/>
      <c r="C2824" s="56"/>
      <c r="D2824" s="8"/>
      <c r="E2824" s="8"/>
      <c r="F2824" s="8"/>
      <c r="G2824" s="2"/>
    </row>
    <row r="2825" spans="1:7" x14ac:dyDescent="0.25">
      <c r="A2825" s="7"/>
      <c r="B2825" s="2"/>
      <c r="C2825" s="56"/>
      <c r="D2825" s="8"/>
      <c r="E2825" s="8"/>
      <c r="F2825" s="8"/>
      <c r="G2825" s="2"/>
    </row>
    <row r="2826" spans="1:7" x14ac:dyDescent="0.25">
      <c r="A2826" s="7"/>
      <c r="B2826" s="2"/>
      <c r="C2826" s="56"/>
      <c r="D2826" s="8"/>
      <c r="E2826" s="8"/>
      <c r="F2826" s="8"/>
      <c r="G2826" s="2"/>
    </row>
    <row r="2827" spans="1:7" x14ac:dyDescent="0.25">
      <c r="A2827" s="7"/>
      <c r="B2827" s="2"/>
      <c r="C2827" s="56"/>
      <c r="D2827" s="8"/>
      <c r="E2827" s="8"/>
      <c r="F2827" s="8"/>
      <c r="G2827" s="2"/>
    </row>
    <row r="2828" spans="1:7" x14ac:dyDescent="0.25">
      <c r="A2828" s="7"/>
      <c r="B2828" s="2"/>
      <c r="C2828" s="56"/>
      <c r="D2828" s="8"/>
      <c r="E2828" s="8"/>
      <c r="F2828" s="8"/>
      <c r="G2828" s="2"/>
    </row>
    <row r="2829" spans="1:7" x14ac:dyDescent="0.25">
      <c r="A2829" s="7"/>
      <c r="B2829" s="2"/>
      <c r="C2829" s="56"/>
      <c r="D2829" s="8"/>
      <c r="E2829" s="8"/>
      <c r="F2829" s="8"/>
      <c r="G2829" s="2"/>
    </row>
    <row r="2830" spans="1:7" x14ac:dyDescent="0.25">
      <c r="A2830" s="7"/>
      <c r="B2830" s="2"/>
      <c r="C2830" s="56"/>
      <c r="D2830" s="8"/>
      <c r="E2830" s="8"/>
      <c r="F2830" s="8"/>
      <c r="G2830" s="2"/>
    </row>
    <row r="2831" spans="1:7" x14ac:dyDescent="0.25">
      <c r="A2831" s="7"/>
      <c r="B2831" s="2"/>
      <c r="C2831" s="56"/>
      <c r="D2831" s="8"/>
      <c r="E2831" s="8"/>
      <c r="F2831" s="8"/>
      <c r="G2831" s="2"/>
    </row>
    <row r="2832" spans="1:7" x14ac:dyDescent="0.25">
      <c r="A2832" s="7"/>
      <c r="B2832" s="2"/>
      <c r="C2832" s="56"/>
      <c r="D2832" s="8"/>
      <c r="E2832" s="8"/>
      <c r="F2832" s="8"/>
      <c r="G2832" s="2"/>
    </row>
    <row r="2833" spans="1:7" x14ac:dyDescent="0.25">
      <c r="A2833" s="7"/>
      <c r="B2833" s="2"/>
      <c r="C2833" s="56"/>
      <c r="D2833" s="8"/>
      <c r="E2833" s="8"/>
      <c r="F2833" s="8"/>
      <c r="G2833" s="2"/>
    </row>
    <row r="2834" spans="1:7" x14ac:dyDescent="0.25">
      <c r="A2834" s="7"/>
      <c r="B2834" s="2"/>
      <c r="C2834" s="56"/>
      <c r="D2834" s="8"/>
      <c r="E2834" s="8"/>
      <c r="F2834" s="8"/>
      <c r="G2834" s="2"/>
    </row>
    <row r="2835" spans="1:7" x14ac:dyDescent="0.25">
      <c r="A2835" s="7"/>
      <c r="B2835" s="2"/>
      <c r="C2835" s="56"/>
      <c r="D2835" s="8"/>
      <c r="E2835" s="8"/>
      <c r="F2835" s="8"/>
      <c r="G2835" s="2"/>
    </row>
    <row r="2836" spans="1:7" x14ac:dyDescent="0.25">
      <c r="A2836" s="7"/>
      <c r="B2836" s="2"/>
      <c r="C2836" s="56"/>
      <c r="D2836" s="8"/>
      <c r="E2836" s="8"/>
      <c r="F2836" s="8"/>
      <c r="G2836" s="2"/>
    </row>
    <row r="2837" spans="1:7" x14ac:dyDescent="0.25">
      <c r="A2837" s="7"/>
      <c r="B2837" s="2"/>
      <c r="C2837" s="56"/>
      <c r="D2837" s="8"/>
      <c r="E2837" s="8"/>
      <c r="F2837" s="8"/>
      <c r="G2837" s="2"/>
    </row>
    <row r="2838" spans="1:7" x14ac:dyDescent="0.25">
      <c r="A2838" s="7"/>
      <c r="B2838" s="2"/>
      <c r="C2838" s="56"/>
      <c r="D2838" s="8"/>
      <c r="E2838" s="8"/>
      <c r="F2838" s="8"/>
      <c r="G2838" s="2"/>
    </row>
    <row r="2839" spans="1:7" x14ac:dyDescent="0.25">
      <c r="A2839" s="7"/>
      <c r="B2839" s="2"/>
      <c r="C2839" s="56"/>
      <c r="D2839" s="8"/>
      <c r="E2839" s="8"/>
      <c r="F2839" s="8"/>
      <c r="G2839" s="2"/>
    </row>
    <row r="2840" spans="1:7" x14ac:dyDescent="0.25">
      <c r="A2840" s="7"/>
      <c r="B2840" s="2"/>
      <c r="C2840" s="56"/>
      <c r="D2840" s="8"/>
      <c r="E2840" s="8"/>
      <c r="F2840" s="8"/>
      <c r="G2840" s="2"/>
    </row>
    <row r="2841" spans="1:7" x14ac:dyDescent="0.25">
      <c r="A2841" s="7"/>
      <c r="B2841" s="2"/>
      <c r="C2841" s="56"/>
      <c r="D2841" s="8"/>
      <c r="E2841" s="8"/>
      <c r="F2841" s="8"/>
      <c r="G2841" s="2"/>
    </row>
    <row r="2842" spans="1:7" x14ac:dyDescent="0.25">
      <c r="A2842" s="7"/>
      <c r="B2842" s="2"/>
      <c r="C2842" s="56"/>
      <c r="D2842" s="8"/>
      <c r="E2842" s="8"/>
      <c r="F2842" s="8"/>
      <c r="G2842" s="2"/>
    </row>
    <row r="2843" spans="1:7" x14ac:dyDescent="0.25">
      <c r="A2843" s="7"/>
      <c r="B2843" s="2"/>
      <c r="C2843" s="56"/>
      <c r="D2843" s="8"/>
      <c r="E2843" s="8"/>
      <c r="F2843" s="8"/>
      <c r="G2843" s="2"/>
    </row>
    <row r="2844" spans="1:7" x14ac:dyDescent="0.25">
      <c r="A2844" s="7"/>
      <c r="B2844" s="2"/>
      <c r="C2844" s="56"/>
      <c r="D2844" s="8"/>
      <c r="E2844" s="8"/>
      <c r="F2844" s="8"/>
      <c r="G2844" s="2"/>
    </row>
    <row r="2845" spans="1:7" x14ac:dyDescent="0.25">
      <c r="A2845" s="7"/>
      <c r="B2845" s="2"/>
      <c r="C2845" s="56"/>
      <c r="D2845" s="8"/>
      <c r="E2845" s="8"/>
      <c r="F2845" s="8"/>
      <c r="G2845" s="2"/>
    </row>
    <row r="2846" spans="1:7" x14ac:dyDescent="0.25">
      <c r="A2846" s="7"/>
      <c r="B2846" s="2"/>
      <c r="C2846" s="56"/>
      <c r="D2846" s="8"/>
      <c r="E2846" s="8"/>
      <c r="F2846" s="8"/>
      <c r="G2846" s="2"/>
    </row>
    <row r="2847" spans="1:7" x14ac:dyDescent="0.25">
      <c r="A2847" s="7"/>
      <c r="B2847" s="2"/>
      <c r="C2847" s="56"/>
      <c r="D2847" s="8"/>
      <c r="E2847" s="8"/>
      <c r="F2847" s="8"/>
      <c r="G2847" s="2"/>
    </row>
    <row r="2848" spans="1:7" x14ac:dyDescent="0.25">
      <c r="A2848" s="7"/>
      <c r="B2848" s="2"/>
      <c r="C2848" s="56"/>
      <c r="D2848" s="8"/>
      <c r="E2848" s="8"/>
      <c r="F2848" s="8"/>
      <c r="G2848" s="2"/>
    </row>
    <row r="2849" spans="1:7" x14ac:dyDescent="0.25">
      <c r="A2849" s="7"/>
      <c r="B2849" s="2"/>
      <c r="C2849" s="56"/>
      <c r="D2849" s="8"/>
      <c r="E2849" s="8"/>
      <c r="F2849" s="8"/>
      <c r="G2849" s="2"/>
    </row>
    <row r="2850" spans="1:7" x14ac:dyDescent="0.25">
      <c r="A2850" s="7"/>
      <c r="B2850" s="2"/>
      <c r="C2850" s="56"/>
      <c r="D2850" s="8"/>
      <c r="E2850" s="8"/>
      <c r="F2850" s="8"/>
      <c r="G2850" s="2"/>
    </row>
    <row r="2851" spans="1:7" x14ac:dyDescent="0.25">
      <c r="A2851" s="7"/>
      <c r="B2851" s="2"/>
      <c r="C2851" s="56"/>
      <c r="D2851" s="8"/>
      <c r="E2851" s="8"/>
      <c r="F2851" s="8"/>
      <c r="G2851" s="2"/>
    </row>
    <row r="2852" spans="1:7" x14ac:dyDescent="0.25">
      <c r="A2852" s="7"/>
      <c r="B2852" s="2"/>
      <c r="C2852" s="56"/>
      <c r="D2852" s="8"/>
      <c r="E2852" s="8"/>
      <c r="F2852" s="8"/>
      <c r="G2852" s="2"/>
    </row>
    <row r="2853" spans="1:7" x14ac:dyDescent="0.25">
      <c r="A2853" s="7"/>
      <c r="B2853" s="2"/>
      <c r="C2853" s="56"/>
      <c r="D2853" s="8"/>
      <c r="E2853" s="8"/>
      <c r="F2853" s="8"/>
      <c r="G2853" s="2"/>
    </row>
    <row r="2854" spans="1:7" x14ac:dyDescent="0.25">
      <c r="A2854" s="7"/>
      <c r="B2854" s="2"/>
      <c r="C2854" s="56"/>
      <c r="D2854" s="8"/>
      <c r="E2854" s="8"/>
      <c r="F2854" s="8"/>
      <c r="G2854" s="2"/>
    </row>
    <row r="2855" spans="1:7" x14ac:dyDescent="0.25">
      <c r="A2855" s="7"/>
      <c r="B2855" s="2"/>
      <c r="C2855" s="56"/>
      <c r="D2855" s="8"/>
      <c r="E2855" s="8"/>
      <c r="F2855" s="8"/>
      <c r="G2855" s="2"/>
    </row>
    <row r="2856" spans="1:7" x14ac:dyDescent="0.25">
      <c r="A2856" s="7"/>
      <c r="B2856" s="2"/>
      <c r="C2856" s="56"/>
      <c r="D2856" s="8"/>
      <c r="E2856" s="8"/>
      <c r="F2856" s="8"/>
      <c r="G2856" s="2"/>
    </row>
    <row r="2857" spans="1:7" x14ac:dyDescent="0.25">
      <c r="A2857" s="7"/>
      <c r="B2857" s="2"/>
      <c r="C2857" s="56"/>
      <c r="D2857" s="8"/>
      <c r="E2857" s="8"/>
      <c r="F2857" s="8"/>
      <c r="G2857" s="2"/>
    </row>
    <row r="2858" spans="1:7" x14ac:dyDescent="0.25">
      <c r="A2858" s="7"/>
      <c r="B2858" s="2"/>
      <c r="C2858" s="56"/>
      <c r="D2858" s="8"/>
      <c r="E2858" s="8"/>
      <c r="F2858" s="8"/>
      <c r="G2858" s="2"/>
    </row>
    <row r="2859" spans="1:7" x14ac:dyDescent="0.25">
      <c r="A2859" s="7"/>
      <c r="B2859" s="2"/>
      <c r="C2859" s="56"/>
      <c r="D2859" s="8"/>
      <c r="E2859" s="8"/>
      <c r="F2859" s="8"/>
      <c r="G2859" s="2"/>
    </row>
    <row r="2860" spans="1:7" x14ac:dyDescent="0.25">
      <c r="A2860" s="7"/>
      <c r="B2860" s="2"/>
      <c r="C2860" s="56"/>
      <c r="D2860" s="8"/>
      <c r="E2860" s="8"/>
      <c r="F2860" s="8"/>
      <c r="G2860" s="2"/>
    </row>
    <row r="2861" spans="1:7" x14ac:dyDescent="0.25">
      <c r="A2861" s="7"/>
      <c r="B2861" s="2"/>
      <c r="C2861" s="56"/>
      <c r="D2861" s="8"/>
      <c r="E2861" s="8"/>
      <c r="F2861" s="8"/>
      <c r="G2861" s="2"/>
    </row>
    <row r="2862" spans="1:7" x14ac:dyDescent="0.25">
      <c r="A2862" s="7"/>
      <c r="B2862" s="2"/>
      <c r="C2862" s="56"/>
      <c r="D2862" s="8"/>
      <c r="E2862" s="8"/>
      <c r="F2862" s="8"/>
      <c r="G2862" s="2"/>
    </row>
    <row r="2863" spans="1:7" x14ac:dyDescent="0.25">
      <c r="A2863" s="7"/>
      <c r="B2863" s="2"/>
      <c r="C2863" s="56"/>
      <c r="D2863" s="8"/>
      <c r="E2863" s="8"/>
      <c r="F2863" s="8"/>
      <c r="G2863" s="2"/>
    </row>
    <row r="2864" spans="1:7" x14ac:dyDescent="0.25">
      <c r="A2864" s="7"/>
      <c r="B2864" s="2"/>
      <c r="C2864" s="56"/>
      <c r="D2864" s="8"/>
      <c r="E2864" s="8"/>
      <c r="F2864" s="8"/>
      <c r="G2864" s="2"/>
    </row>
    <row r="2865" spans="1:7" x14ac:dyDescent="0.25">
      <c r="A2865" s="7"/>
      <c r="B2865" s="2"/>
      <c r="C2865" s="56"/>
      <c r="D2865" s="8"/>
      <c r="E2865" s="8"/>
      <c r="F2865" s="8"/>
      <c r="G2865" s="2"/>
    </row>
    <row r="2866" spans="1:7" x14ac:dyDescent="0.25">
      <c r="A2866" s="7"/>
      <c r="B2866" s="2"/>
      <c r="C2866" s="56"/>
      <c r="D2866" s="8"/>
      <c r="E2866" s="8"/>
      <c r="F2866" s="8"/>
      <c r="G2866" s="2"/>
    </row>
    <row r="2867" spans="1:7" x14ac:dyDescent="0.25">
      <c r="A2867" s="7"/>
      <c r="B2867" s="2"/>
      <c r="C2867" s="56"/>
      <c r="D2867" s="8"/>
      <c r="E2867" s="8"/>
      <c r="F2867" s="8"/>
      <c r="G2867" s="2"/>
    </row>
    <row r="2868" spans="1:7" x14ac:dyDescent="0.25">
      <c r="A2868" s="7"/>
      <c r="B2868" s="2"/>
      <c r="C2868" s="56"/>
      <c r="D2868" s="8"/>
      <c r="E2868" s="8"/>
      <c r="F2868" s="8"/>
      <c r="G2868" s="2"/>
    </row>
    <row r="2869" spans="1:7" x14ac:dyDescent="0.25">
      <c r="A2869" s="7"/>
      <c r="B2869" s="2"/>
      <c r="C2869" s="56"/>
      <c r="D2869" s="8"/>
      <c r="E2869" s="8"/>
      <c r="F2869" s="8"/>
      <c r="G2869" s="2"/>
    </row>
    <row r="2870" spans="1:7" x14ac:dyDescent="0.25">
      <c r="A2870" s="7"/>
      <c r="B2870" s="2"/>
      <c r="C2870" s="56"/>
      <c r="D2870" s="8"/>
      <c r="E2870" s="8"/>
      <c r="F2870" s="8"/>
      <c r="G2870" s="2"/>
    </row>
    <row r="2871" spans="1:7" x14ac:dyDescent="0.25">
      <c r="A2871" s="7"/>
      <c r="B2871" s="2"/>
      <c r="C2871" s="56"/>
      <c r="D2871" s="8"/>
      <c r="E2871" s="8"/>
      <c r="F2871" s="8"/>
      <c r="G2871" s="2"/>
    </row>
    <row r="2872" spans="1:7" x14ac:dyDescent="0.25">
      <c r="A2872" s="7"/>
      <c r="B2872" s="2"/>
      <c r="C2872" s="56"/>
      <c r="D2872" s="8"/>
      <c r="E2872" s="8"/>
      <c r="F2872" s="8"/>
      <c r="G2872" s="2"/>
    </row>
    <row r="2873" spans="1:7" x14ac:dyDescent="0.25">
      <c r="A2873" s="7"/>
      <c r="B2873" s="2"/>
      <c r="C2873" s="56"/>
      <c r="D2873" s="8"/>
      <c r="E2873" s="8"/>
      <c r="F2873" s="8"/>
      <c r="G2873" s="2"/>
    </row>
    <row r="2874" spans="1:7" x14ac:dyDescent="0.25">
      <c r="A2874" s="7"/>
      <c r="B2874" s="2"/>
      <c r="C2874" s="56"/>
      <c r="D2874" s="8"/>
      <c r="E2874" s="8"/>
      <c r="F2874" s="8"/>
      <c r="G2874" s="2"/>
    </row>
    <row r="2875" spans="1:7" x14ac:dyDescent="0.25">
      <c r="A2875" s="7"/>
      <c r="B2875" s="2"/>
      <c r="C2875" s="56"/>
      <c r="D2875" s="8"/>
      <c r="E2875" s="8"/>
      <c r="F2875" s="8"/>
      <c r="G2875" s="2"/>
    </row>
    <row r="2876" spans="1:7" x14ac:dyDescent="0.25">
      <c r="A2876" s="7"/>
      <c r="B2876" s="2"/>
      <c r="C2876" s="56"/>
      <c r="D2876" s="8"/>
      <c r="E2876" s="8"/>
      <c r="F2876" s="8"/>
      <c r="G2876" s="2"/>
    </row>
    <row r="2877" spans="1:7" x14ac:dyDescent="0.25">
      <c r="A2877" s="7"/>
      <c r="B2877" s="2"/>
      <c r="C2877" s="56"/>
      <c r="D2877" s="8"/>
      <c r="E2877" s="8"/>
      <c r="F2877" s="8"/>
      <c r="G2877" s="2"/>
    </row>
    <row r="2878" spans="1:7" x14ac:dyDescent="0.25">
      <c r="A2878" s="7"/>
      <c r="B2878" s="2"/>
      <c r="C2878" s="56"/>
      <c r="D2878" s="8"/>
      <c r="E2878" s="8"/>
      <c r="F2878" s="8"/>
      <c r="G2878" s="2"/>
    </row>
    <row r="2879" spans="1:7" x14ac:dyDescent="0.25">
      <c r="A2879" s="7"/>
      <c r="B2879" s="2"/>
      <c r="C2879" s="56"/>
      <c r="D2879" s="8"/>
      <c r="E2879" s="8"/>
      <c r="F2879" s="8"/>
      <c r="G2879" s="2"/>
    </row>
    <row r="2880" spans="1:7" x14ac:dyDescent="0.25">
      <c r="A2880" s="7"/>
      <c r="B2880" s="2"/>
      <c r="C2880" s="56"/>
      <c r="D2880" s="8"/>
      <c r="E2880" s="8"/>
      <c r="F2880" s="8"/>
      <c r="G2880" s="2"/>
    </row>
    <row r="2881" spans="1:7" x14ac:dyDescent="0.25">
      <c r="A2881" s="7"/>
      <c r="B2881" s="2"/>
      <c r="C2881" s="56"/>
      <c r="D2881" s="8"/>
      <c r="E2881" s="8"/>
      <c r="F2881" s="8"/>
      <c r="G2881" s="2"/>
    </row>
    <row r="2882" spans="1:7" x14ac:dyDescent="0.25">
      <c r="A2882" s="7"/>
      <c r="B2882" s="2"/>
      <c r="C2882" s="56"/>
      <c r="D2882" s="8"/>
      <c r="E2882" s="8"/>
      <c r="F2882" s="8"/>
      <c r="G2882" s="2"/>
    </row>
    <row r="2883" spans="1:7" x14ac:dyDescent="0.25">
      <c r="A2883" s="7"/>
      <c r="B2883" s="2"/>
      <c r="C2883" s="56"/>
      <c r="D2883" s="8"/>
      <c r="E2883" s="8"/>
      <c r="F2883" s="8"/>
      <c r="G2883" s="2"/>
    </row>
    <row r="2884" spans="1:7" x14ac:dyDescent="0.25">
      <c r="A2884" s="7"/>
      <c r="B2884" s="2"/>
      <c r="C2884" s="56"/>
      <c r="D2884" s="8"/>
      <c r="E2884" s="8"/>
      <c r="F2884" s="8"/>
      <c r="G2884" s="2"/>
    </row>
    <row r="2885" spans="1:7" x14ac:dyDescent="0.25">
      <c r="A2885" s="7"/>
      <c r="B2885" s="2"/>
      <c r="C2885" s="56"/>
      <c r="D2885" s="8"/>
      <c r="E2885" s="8"/>
      <c r="F2885" s="8"/>
      <c r="G2885" s="2"/>
    </row>
    <row r="2886" spans="1:7" x14ac:dyDescent="0.25">
      <c r="A2886" s="7"/>
      <c r="B2886" s="2"/>
      <c r="C2886" s="56"/>
      <c r="D2886" s="8"/>
      <c r="E2886" s="8"/>
      <c r="F2886" s="8"/>
      <c r="G2886" s="2"/>
    </row>
    <row r="2887" spans="1:7" x14ac:dyDescent="0.25">
      <c r="A2887" s="7"/>
      <c r="B2887" s="2"/>
      <c r="C2887" s="56"/>
      <c r="D2887" s="8"/>
      <c r="E2887" s="8"/>
      <c r="F2887" s="8"/>
      <c r="G2887" s="2"/>
    </row>
    <row r="2888" spans="1:7" x14ac:dyDescent="0.25">
      <c r="A2888" s="7"/>
      <c r="B2888" s="2"/>
      <c r="C2888" s="56"/>
      <c r="D2888" s="8"/>
      <c r="E2888" s="8"/>
      <c r="F2888" s="8"/>
      <c r="G2888" s="2"/>
    </row>
    <row r="2889" spans="1:7" x14ac:dyDescent="0.25">
      <c r="A2889" s="7"/>
      <c r="B2889" s="2"/>
      <c r="C2889" s="56"/>
      <c r="D2889" s="8"/>
      <c r="E2889" s="8"/>
      <c r="F2889" s="8"/>
      <c r="G2889" s="2"/>
    </row>
    <row r="2890" spans="1:7" x14ac:dyDescent="0.25">
      <c r="A2890" s="7"/>
      <c r="B2890" s="2"/>
      <c r="C2890" s="56"/>
      <c r="D2890" s="8"/>
      <c r="E2890" s="8"/>
      <c r="F2890" s="8"/>
      <c r="G2890" s="2"/>
    </row>
    <row r="2891" spans="1:7" x14ac:dyDescent="0.25">
      <c r="A2891" s="7"/>
      <c r="B2891" s="2"/>
      <c r="C2891" s="56"/>
      <c r="D2891" s="8"/>
      <c r="E2891" s="8"/>
      <c r="F2891" s="8"/>
      <c r="G2891" s="2"/>
    </row>
    <row r="2892" spans="1:7" x14ac:dyDescent="0.25">
      <c r="A2892" s="7"/>
      <c r="B2892" s="2"/>
      <c r="C2892" s="56"/>
      <c r="D2892" s="8"/>
      <c r="E2892" s="8"/>
      <c r="F2892" s="8"/>
      <c r="G2892" s="2"/>
    </row>
    <row r="2893" spans="1:7" x14ac:dyDescent="0.25">
      <c r="A2893" s="7"/>
      <c r="B2893" s="2"/>
      <c r="C2893" s="56"/>
      <c r="D2893" s="8"/>
      <c r="E2893" s="8"/>
      <c r="F2893" s="8"/>
      <c r="G2893" s="2"/>
    </row>
    <row r="2894" spans="1:7" x14ac:dyDescent="0.25">
      <c r="A2894" s="7"/>
      <c r="B2894" s="2"/>
      <c r="C2894" s="56"/>
      <c r="D2894" s="8"/>
      <c r="E2894" s="8"/>
      <c r="F2894" s="8"/>
      <c r="G2894" s="2"/>
    </row>
    <row r="2895" spans="1:7" x14ac:dyDescent="0.25">
      <c r="A2895" s="7"/>
      <c r="B2895" s="2"/>
      <c r="C2895" s="56"/>
      <c r="D2895" s="8"/>
      <c r="E2895" s="8"/>
      <c r="F2895" s="8"/>
      <c r="G2895" s="2"/>
    </row>
    <row r="2896" spans="1:7" x14ac:dyDescent="0.25">
      <c r="A2896" s="7"/>
      <c r="B2896" s="2"/>
      <c r="C2896" s="56"/>
      <c r="D2896" s="8"/>
      <c r="E2896" s="8"/>
      <c r="F2896" s="8"/>
      <c r="G2896" s="2"/>
    </row>
    <row r="2897" spans="1:7" x14ac:dyDescent="0.25">
      <c r="A2897" s="7"/>
      <c r="B2897" s="2"/>
      <c r="C2897" s="56"/>
      <c r="D2897" s="8"/>
      <c r="E2897" s="8"/>
      <c r="F2897" s="8"/>
      <c r="G2897" s="2"/>
    </row>
    <row r="2898" spans="1:7" x14ac:dyDescent="0.25">
      <c r="A2898" s="7"/>
      <c r="B2898" s="2"/>
      <c r="C2898" s="56"/>
      <c r="D2898" s="8"/>
      <c r="E2898" s="8"/>
      <c r="F2898" s="8"/>
      <c r="G2898" s="2"/>
    </row>
    <row r="2899" spans="1:7" x14ac:dyDescent="0.25">
      <c r="A2899" s="7"/>
      <c r="B2899" s="2"/>
      <c r="C2899" s="56"/>
      <c r="D2899" s="8"/>
      <c r="E2899" s="8"/>
      <c r="F2899" s="8"/>
      <c r="G2899" s="2"/>
    </row>
    <row r="2900" spans="1:7" x14ac:dyDescent="0.25">
      <c r="A2900" s="7"/>
      <c r="B2900" s="2"/>
      <c r="C2900" s="56"/>
      <c r="D2900" s="8"/>
      <c r="E2900" s="8"/>
      <c r="F2900" s="8"/>
      <c r="G2900" s="2"/>
    </row>
    <row r="2901" spans="1:7" x14ac:dyDescent="0.25">
      <c r="A2901" s="7"/>
      <c r="B2901" s="2"/>
      <c r="C2901" s="56"/>
      <c r="D2901" s="8"/>
      <c r="E2901" s="8"/>
      <c r="F2901" s="8"/>
      <c r="G2901" s="2"/>
    </row>
    <row r="2902" spans="1:7" x14ac:dyDescent="0.25">
      <c r="A2902" s="7"/>
      <c r="B2902" s="2"/>
      <c r="C2902" s="56"/>
      <c r="D2902" s="8"/>
      <c r="E2902" s="8"/>
      <c r="F2902" s="8"/>
      <c r="G2902" s="2"/>
    </row>
    <row r="2903" spans="1:7" x14ac:dyDescent="0.25">
      <c r="A2903" s="7"/>
      <c r="B2903" s="2"/>
      <c r="C2903" s="56"/>
      <c r="D2903" s="8"/>
      <c r="E2903" s="8"/>
      <c r="F2903" s="8"/>
      <c r="G2903" s="2"/>
    </row>
    <row r="2904" spans="1:7" x14ac:dyDescent="0.25">
      <c r="A2904" s="7"/>
      <c r="B2904" s="2"/>
      <c r="C2904" s="56"/>
      <c r="D2904" s="8"/>
      <c r="E2904" s="8"/>
      <c r="F2904" s="8"/>
      <c r="G2904" s="2"/>
    </row>
    <row r="2905" spans="1:7" x14ac:dyDescent="0.25">
      <c r="A2905" s="7"/>
      <c r="B2905" s="2"/>
      <c r="C2905" s="56"/>
      <c r="D2905" s="8"/>
      <c r="E2905" s="8"/>
      <c r="F2905" s="8"/>
      <c r="G2905" s="2"/>
    </row>
    <row r="2906" spans="1:7" x14ac:dyDescent="0.25">
      <c r="A2906" s="7"/>
      <c r="B2906" s="2"/>
      <c r="C2906" s="56"/>
      <c r="D2906" s="8"/>
      <c r="E2906" s="8"/>
      <c r="F2906" s="8"/>
      <c r="G2906" s="2"/>
    </row>
    <row r="2907" spans="1:7" x14ac:dyDescent="0.25">
      <c r="A2907" s="7"/>
      <c r="B2907" s="2"/>
      <c r="C2907" s="56"/>
      <c r="D2907" s="8"/>
      <c r="E2907" s="8"/>
      <c r="F2907" s="8"/>
      <c r="G2907" s="2"/>
    </row>
    <row r="2908" spans="1:7" x14ac:dyDescent="0.25">
      <c r="A2908" s="7"/>
      <c r="B2908" s="2"/>
      <c r="C2908" s="56"/>
      <c r="D2908" s="8"/>
      <c r="E2908" s="8"/>
      <c r="F2908" s="8"/>
      <c r="G2908" s="2"/>
    </row>
    <row r="2909" spans="1:7" x14ac:dyDescent="0.25">
      <c r="A2909" s="7"/>
      <c r="B2909" s="2"/>
      <c r="C2909" s="56"/>
      <c r="D2909" s="8"/>
      <c r="E2909" s="8"/>
      <c r="F2909" s="8"/>
      <c r="G2909" s="2"/>
    </row>
    <row r="2910" spans="1:7" x14ac:dyDescent="0.25">
      <c r="A2910" s="7"/>
      <c r="B2910" s="2"/>
      <c r="C2910" s="56"/>
      <c r="D2910" s="8"/>
      <c r="E2910" s="8"/>
      <c r="F2910" s="8"/>
      <c r="G2910" s="2"/>
    </row>
    <row r="2911" spans="1:7" x14ac:dyDescent="0.25">
      <c r="A2911" s="7"/>
      <c r="B2911" s="2"/>
      <c r="C2911" s="56"/>
      <c r="D2911" s="8"/>
      <c r="E2911" s="8"/>
      <c r="F2911" s="8"/>
      <c r="G2911" s="2"/>
    </row>
    <row r="2912" spans="1:7" x14ac:dyDescent="0.25">
      <c r="A2912" s="7"/>
      <c r="B2912" s="2"/>
      <c r="C2912" s="56"/>
      <c r="D2912" s="8"/>
      <c r="E2912" s="8"/>
      <c r="F2912" s="8"/>
      <c r="G2912" s="2"/>
    </row>
    <row r="2913" spans="1:7" x14ac:dyDescent="0.25">
      <c r="A2913" s="7"/>
      <c r="B2913" s="2"/>
      <c r="C2913" s="56"/>
      <c r="D2913" s="8"/>
      <c r="E2913" s="8"/>
      <c r="F2913" s="8"/>
      <c r="G2913" s="2"/>
    </row>
    <row r="2914" spans="1:7" x14ac:dyDescent="0.25">
      <c r="A2914" s="7"/>
      <c r="B2914" s="2"/>
      <c r="C2914" s="56"/>
      <c r="D2914" s="8"/>
      <c r="E2914" s="8"/>
      <c r="F2914" s="8"/>
      <c r="G2914" s="2"/>
    </row>
    <row r="2915" spans="1:7" x14ac:dyDescent="0.25">
      <c r="A2915" s="7"/>
      <c r="B2915" s="2"/>
      <c r="C2915" s="56"/>
      <c r="D2915" s="8"/>
      <c r="E2915" s="8"/>
      <c r="F2915" s="8"/>
      <c r="G2915" s="2"/>
    </row>
    <row r="2916" spans="1:7" x14ac:dyDescent="0.25">
      <c r="A2916" s="7"/>
      <c r="B2916" s="2"/>
      <c r="C2916" s="56"/>
      <c r="D2916" s="8"/>
      <c r="E2916" s="8"/>
      <c r="F2916" s="8"/>
      <c r="G2916" s="2"/>
    </row>
    <row r="2917" spans="1:7" x14ac:dyDescent="0.25">
      <c r="A2917" s="7"/>
      <c r="B2917" s="2"/>
      <c r="C2917" s="56"/>
      <c r="D2917" s="8"/>
      <c r="E2917" s="8"/>
      <c r="F2917" s="8"/>
      <c r="G2917" s="2"/>
    </row>
    <row r="2918" spans="1:7" x14ac:dyDescent="0.25">
      <c r="A2918" s="7"/>
      <c r="B2918" s="2"/>
      <c r="C2918" s="56"/>
      <c r="D2918" s="8"/>
      <c r="E2918" s="8"/>
      <c r="F2918" s="8"/>
      <c r="G2918" s="2"/>
    </row>
    <row r="2919" spans="1:7" x14ac:dyDescent="0.25">
      <c r="A2919" s="7"/>
      <c r="B2919" s="2"/>
      <c r="C2919" s="56"/>
      <c r="D2919" s="8"/>
      <c r="E2919" s="8"/>
      <c r="F2919" s="8"/>
      <c r="G2919" s="2"/>
    </row>
    <row r="2920" spans="1:7" x14ac:dyDescent="0.25">
      <c r="A2920" s="7"/>
      <c r="B2920" s="2"/>
      <c r="C2920" s="56"/>
      <c r="D2920" s="8"/>
      <c r="E2920" s="8"/>
      <c r="F2920" s="8"/>
      <c r="G2920" s="2"/>
    </row>
    <row r="2921" spans="1:7" x14ac:dyDescent="0.25">
      <c r="A2921" s="7"/>
      <c r="B2921" s="2"/>
      <c r="C2921" s="56"/>
      <c r="D2921" s="8"/>
      <c r="E2921" s="8"/>
      <c r="F2921" s="8"/>
      <c r="G2921" s="2"/>
    </row>
    <row r="2922" spans="1:7" x14ac:dyDescent="0.25">
      <c r="A2922" s="7"/>
      <c r="B2922" s="2"/>
      <c r="C2922" s="56"/>
      <c r="D2922" s="8"/>
      <c r="E2922" s="8"/>
      <c r="F2922" s="8"/>
      <c r="G2922" s="2"/>
    </row>
  </sheetData>
  <phoneticPr fontId="4" type="noConversion"/>
  <pageMargins left="0.75" right="0.75" top="1" bottom="1" header="0" footer="0"/>
  <pageSetup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5"/>
  <sheetViews>
    <sheetView topLeftCell="A17" workbookViewId="0">
      <selection activeCell="F29" sqref="F29"/>
    </sheetView>
  </sheetViews>
  <sheetFormatPr baseColWidth="10" defaultColWidth="11.453125" defaultRowHeight="12.5" x14ac:dyDescent="0.25"/>
  <cols>
    <col min="1" max="1" width="13.54296875" style="25" customWidth="1"/>
    <col min="2" max="2" width="17.453125" style="25" bestFit="1" customWidth="1"/>
    <col min="3" max="3" width="16.453125" style="25" bestFit="1" customWidth="1"/>
    <col min="4" max="6" width="17" style="25" customWidth="1"/>
    <col min="7" max="7" width="20" style="25" customWidth="1"/>
    <col min="8" max="8" width="12.1796875" style="25" customWidth="1"/>
    <col min="9" max="16384" width="11.453125" style="25"/>
  </cols>
  <sheetData>
    <row r="1" spans="1:12" x14ac:dyDescent="0.25">
      <c r="A1" s="30" t="s">
        <v>9</v>
      </c>
      <c r="B1" s="31"/>
      <c r="C1" s="31"/>
      <c r="D1" s="31"/>
      <c r="E1" s="31"/>
      <c r="F1" s="31"/>
      <c r="G1" s="30"/>
      <c r="L1" s="25" t="s">
        <v>1</v>
      </c>
    </row>
    <row r="2" spans="1:12" x14ac:dyDescent="0.25">
      <c r="A2" s="30"/>
      <c r="B2" s="31"/>
      <c r="C2" s="31"/>
      <c r="D2" s="31"/>
      <c r="E2" s="31"/>
      <c r="F2" s="31"/>
      <c r="G2" s="30"/>
    </row>
    <row r="3" spans="1:12" ht="26" x14ac:dyDescent="0.25">
      <c r="A3" s="11" t="s">
        <v>2</v>
      </c>
      <c r="B3" s="12" t="s">
        <v>5</v>
      </c>
      <c r="C3" s="12" t="s">
        <v>6</v>
      </c>
      <c r="D3" s="12" t="s">
        <v>7</v>
      </c>
      <c r="E3" s="12" t="s">
        <v>54</v>
      </c>
      <c r="F3" s="12" t="s">
        <v>55</v>
      </c>
      <c r="G3" s="13" t="s">
        <v>10</v>
      </c>
      <c r="H3" s="127" t="s">
        <v>53</v>
      </c>
    </row>
    <row r="4" spans="1:12" x14ac:dyDescent="0.25">
      <c r="A4" s="69">
        <v>44409</v>
      </c>
      <c r="B4" s="29">
        <f>E4+F4</f>
        <v>0</v>
      </c>
      <c r="C4" s="29">
        <f>+B4</f>
        <v>0</v>
      </c>
      <c r="D4" s="46">
        <f>C4-B4</f>
        <v>0</v>
      </c>
      <c r="E4" s="46"/>
      <c r="F4" s="46"/>
      <c r="G4" s="32"/>
      <c r="H4" s="32"/>
    </row>
    <row r="5" spans="1:12" x14ac:dyDescent="0.25">
      <c r="A5" s="69">
        <v>44410</v>
      </c>
      <c r="B5" s="29">
        <f t="shared" ref="B5:B34" si="0">E5+F5</f>
        <v>0</v>
      </c>
      <c r="C5" s="29">
        <f t="shared" ref="C5:C35" si="1">+B5</f>
        <v>0</v>
      </c>
      <c r="D5" s="46">
        <f t="shared" ref="D5:D35" si="2">C5-B5</f>
        <v>0</v>
      </c>
      <c r="E5" s="46"/>
      <c r="F5" s="46"/>
      <c r="G5" s="32"/>
      <c r="H5" s="32"/>
    </row>
    <row r="6" spans="1:12" x14ac:dyDescent="0.25">
      <c r="A6" s="69">
        <v>44411</v>
      </c>
      <c r="B6" s="29">
        <f t="shared" si="0"/>
        <v>0</v>
      </c>
      <c r="C6" s="29">
        <f t="shared" si="1"/>
        <v>0</v>
      </c>
      <c r="D6" s="46">
        <f t="shared" si="2"/>
        <v>0</v>
      </c>
      <c r="E6" s="46"/>
      <c r="F6" s="46"/>
      <c r="G6" s="32"/>
      <c r="H6" s="32"/>
      <c r="I6" s="128"/>
    </row>
    <row r="7" spans="1:12" x14ac:dyDescent="0.25">
      <c r="A7" s="69">
        <v>44412</v>
      </c>
      <c r="B7" s="29">
        <f t="shared" si="0"/>
        <v>0</v>
      </c>
      <c r="C7" s="29">
        <f t="shared" si="1"/>
        <v>0</v>
      </c>
      <c r="D7" s="46">
        <f t="shared" si="2"/>
        <v>0</v>
      </c>
      <c r="E7" s="46"/>
      <c r="F7" s="46"/>
      <c r="G7" s="32"/>
      <c r="H7" s="32"/>
      <c r="I7" s="128"/>
    </row>
    <row r="8" spans="1:12" x14ac:dyDescent="0.25">
      <c r="A8" s="69">
        <v>44413</v>
      </c>
      <c r="B8" s="29">
        <f t="shared" si="0"/>
        <v>0</v>
      </c>
      <c r="C8" s="29">
        <f t="shared" si="1"/>
        <v>0</v>
      </c>
      <c r="D8" s="46">
        <f t="shared" si="2"/>
        <v>0</v>
      </c>
      <c r="E8" s="46"/>
      <c r="F8" s="46"/>
      <c r="G8" s="32"/>
      <c r="H8" s="32"/>
      <c r="I8" s="128"/>
    </row>
    <row r="9" spans="1:12" x14ac:dyDescent="0.25">
      <c r="A9" s="69">
        <v>44414</v>
      </c>
      <c r="B9" s="29">
        <f t="shared" si="0"/>
        <v>0</v>
      </c>
      <c r="C9" s="29">
        <f t="shared" si="1"/>
        <v>0</v>
      </c>
      <c r="D9" s="46">
        <f t="shared" si="2"/>
        <v>0</v>
      </c>
      <c r="E9" s="46"/>
      <c r="F9" s="46"/>
      <c r="G9" s="32"/>
      <c r="H9" s="32"/>
      <c r="I9" s="128"/>
      <c r="J9" s="128"/>
    </row>
    <row r="10" spans="1:12" x14ac:dyDescent="0.25">
      <c r="A10" s="69">
        <v>44415</v>
      </c>
      <c r="B10" s="29">
        <f t="shared" si="0"/>
        <v>0</v>
      </c>
      <c r="C10" s="29">
        <f t="shared" si="1"/>
        <v>0</v>
      </c>
      <c r="D10" s="46">
        <f t="shared" si="2"/>
        <v>0</v>
      </c>
      <c r="E10" s="46"/>
      <c r="F10" s="46"/>
      <c r="G10" s="32"/>
      <c r="H10" s="32"/>
      <c r="I10" s="128"/>
    </row>
    <row r="11" spans="1:12" x14ac:dyDescent="0.25">
      <c r="A11" s="69">
        <v>44416</v>
      </c>
      <c r="B11" s="29">
        <f t="shared" si="0"/>
        <v>0</v>
      </c>
      <c r="C11" s="29">
        <f t="shared" si="1"/>
        <v>0</v>
      </c>
      <c r="D11" s="46">
        <f t="shared" si="2"/>
        <v>0</v>
      </c>
      <c r="E11" s="46"/>
      <c r="F11" s="46"/>
      <c r="G11" s="32"/>
      <c r="H11" s="32"/>
      <c r="I11" s="128"/>
    </row>
    <row r="12" spans="1:12" x14ac:dyDescent="0.25">
      <c r="A12" s="69">
        <v>44417</v>
      </c>
      <c r="B12" s="29">
        <f t="shared" si="0"/>
        <v>0</v>
      </c>
      <c r="C12" s="29">
        <f t="shared" si="1"/>
        <v>0</v>
      </c>
      <c r="D12" s="46">
        <f t="shared" si="2"/>
        <v>0</v>
      </c>
      <c r="E12" s="46"/>
      <c r="F12" s="46"/>
      <c r="G12" s="32"/>
      <c r="H12" s="32"/>
      <c r="I12" s="128"/>
    </row>
    <row r="13" spans="1:12" x14ac:dyDescent="0.25">
      <c r="A13" s="69">
        <v>44418</v>
      </c>
      <c r="B13" s="29">
        <f t="shared" si="0"/>
        <v>0</v>
      </c>
      <c r="C13" s="29">
        <f t="shared" si="1"/>
        <v>0</v>
      </c>
      <c r="D13" s="46">
        <f t="shared" si="2"/>
        <v>0</v>
      </c>
      <c r="E13" s="46"/>
      <c r="F13" s="46"/>
      <c r="G13" s="32"/>
      <c r="H13" s="32"/>
    </row>
    <row r="14" spans="1:12" x14ac:dyDescent="0.25">
      <c r="A14" s="69">
        <v>44419</v>
      </c>
      <c r="B14" s="29">
        <f t="shared" si="0"/>
        <v>0</v>
      </c>
      <c r="C14" s="29">
        <f t="shared" si="1"/>
        <v>0</v>
      </c>
      <c r="D14" s="46">
        <f t="shared" si="2"/>
        <v>0</v>
      </c>
      <c r="E14" s="46"/>
      <c r="F14" s="46"/>
      <c r="G14" s="32"/>
      <c r="H14" s="32"/>
    </row>
    <row r="15" spans="1:12" x14ac:dyDescent="0.25">
      <c r="A15" s="69">
        <v>44420</v>
      </c>
      <c r="B15" s="29">
        <f t="shared" si="0"/>
        <v>0</v>
      </c>
      <c r="C15" s="29">
        <f t="shared" si="1"/>
        <v>0</v>
      </c>
      <c r="D15" s="46">
        <f t="shared" si="2"/>
        <v>0</v>
      </c>
      <c r="E15" s="104"/>
      <c r="F15" s="104"/>
      <c r="G15" s="32"/>
      <c r="H15" s="32"/>
    </row>
    <row r="16" spans="1:12" x14ac:dyDescent="0.25">
      <c r="A16" s="69">
        <v>44421</v>
      </c>
      <c r="B16" s="29">
        <f t="shared" si="0"/>
        <v>0</v>
      </c>
      <c r="C16" s="29">
        <f t="shared" si="1"/>
        <v>0</v>
      </c>
      <c r="D16" s="46">
        <f t="shared" si="2"/>
        <v>0</v>
      </c>
      <c r="E16" s="46"/>
      <c r="F16" s="46"/>
      <c r="G16" s="32"/>
      <c r="H16" s="32"/>
    </row>
    <row r="17" spans="1:8" x14ac:dyDescent="0.25">
      <c r="A17" s="69">
        <v>44422</v>
      </c>
      <c r="B17" s="29">
        <f t="shared" si="0"/>
        <v>0</v>
      </c>
      <c r="C17" s="29">
        <f t="shared" si="1"/>
        <v>0</v>
      </c>
      <c r="D17" s="46">
        <f t="shared" si="2"/>
        <v>0</v>
      </c>
      <c r="E17" s="46"/>
      <c r="F17" s="46"/>
      <c r="G17" s="32"/>
      <c r="H17" s="32"/>
    </row>
    <row r="18" spans="1:8" x14ac:dyDescent="0.25">
      <c r="A18" s="69">
        <v>44423</v>
      </c>
      <c r="B18" s="29">
        <f t="shared" si="0"/>
        <v>0</v>
      </c>
      <c r="C18" s="29">
        <f t="shared" si="1"/>
        <v>0</v>
      </c>
      <c r="D18" s="46">
        <f t="shared" si="2"/>
        <v>0</v>
      </c>
      <c r="E18" s="46"/>
      <c r="F18" s="46"/>
      <c r="G18" s="32"/>
      <c r="H18" s="32"/>
    </row>
    <row r="19" spans="1:8" s="97" customFormat="1" x14ac:dyDescent="0.25">
      <c r="A19" s="69">
        <v>44424</v>
      </c>
      <c r="B19" s="29">
        <f t="shared" si="0"/>
        <v>0</v>
      </c>
      <c r="C19" s="29">
        <f t="shared" si="1"/>
        <v>0</v>
      </c>
      <c r="D19" s="46">
        <f t="shared" si="2"/>
        <v>0</v>
      </c>
      <c r="E19" s="93"/>
      <c r="F19" s="93"/>
      <c r="G19" s="96"/>
      <c r="H19" s="96"/>
    </row>
    <row r="20" spans="1:8" x14ac:dyDescent="0.25">
      <c r="A20" s="69">
        <v>44425</v>
      </c>
      <c r="B20" s="29">
        <f t="shared" si="0"/>
        <v>0</v>
      </c>
      <c r="C20" s="29">
        <f t="shared" si="1"/>
        <v>0</v>
      </c>
      <c r="D20" s="46">
        <f t="shared" si="2"/>
        <v>0</v>
      </c>
      <c r="E20" s="29"/>
      <c r="F20" s="46"/>
      <c r="G20" s="32"/>
      <c r="H20" s="32"/>
    </row>
    <row r="21" spans="1:8" x14ac:dyDescent="0.25">
      <c r="A21" s="69">
        <v>44426</v>
      </c>
      <c r="B21" s="29">
        <f t="shared" si="0"/>
        <v>0</v>
      </c>
      <c r="C21" s="29">
        <f t="shared" si="1"/>
        <v>0</v>
      </c>
      <c r="D21" s="46">
        <f t="shared" si="2"/>
        <v>0</v>
      </c>
      <c r="E21" s="46"/>
      <c r="F21" s="46"/>
      <c r="G21" s="32"/>
      <c r="H21" s="32"/>
    </row>
    <row r="22" spans="1:8" x14ac:dyDescent="0.25">
      <c r="A22" s="69">
        <v>44427</v>
      </c>
      <c r="B22" s="29">
        <f t="shared" si="0"/>
        <v>0</v>
      </c>
      <c r="C22" s="29">
        <f t="shared" si="1"/>
        <v>0</v>
      </c>
      <c r="D22" s="46">
        <f t="shared" si="2"/>
        <v>0</v>
      </c>
      <c r="E22" s="46"/>
      <c r="F22" s="46"/>
      <c r="G22" s="32"/>
      <c r="H22" s="32"/>
    </row>
    <row r="23" spans="1:8" x14ac:dyDescent="0.25">
      <c r="A23" s="69">
        <v>44428</v>
      </c>
      <c r="B23" s="29">
        <f t="shared" si="0"/>
        <v>0</v>
      </c>
      <c r="C23" s="29">
        <f t="shared" si="1"/>
        <v>0</v>
      </c>
      <c r="D23" s="46">
        <f t="shared" si="2"/>
        <v>0</v>
      </c>
      <c r="E23" s="46"/>
      <c r="F23" s="46"/>
      <c r="G23" s="32"/>
      <c r="H23" s="32"/>
    </row>
    <row r="24" spans="1:8" x14ac:dyDescent="0.25">
      <c r="A24" s="69">
        <v>44429</v>
      </c>
      <c r="B24" s="29">
        <f t="shared" si="0"/>
        <v>0</v>
      </c>
      <c r="C24" s="29">
        <f t="shared" si="1"/>
        <v>0</v>
      </c>
      <c r="D24" s="46">
        <f t="shared" si="2"/>
        <v>0</v>
      </c>
      <c r="E24" s="46"/>
      <c r="F24" s="46"/>
      <c r="G24" s="32"/>
      <c r="H24" s="32"/>
    </row>
    <row r="25" spans="1:8" x14ac:dyDescent="0.25">
      <c r="A25" s="69">
        <v>44430</v>
      </c>
      <c r="B25" s="29">
        <f t="shared" si="0"/>
        <v>0</v>
      </c>
      <c r="C25" s="29">
        <f t="shared" si="1"/>
        <v>0</v>
      </c>
      <c r="D25" s="46">
        <f t="shared" si="2"/>
        <v>0</v>
      </c>
      <c r="E25" s="46"/>
      <c r="F25" s="46"/>
      <c r="G25" s="32"/>
      <c r="H25" s="32"/>
    </row>
    <row r="26" spans="1:8" x14ac:dyDescent="0.25">
      <c r="A26" s="69">
        <v>44431</v>
      </c>
      <c r="B26" s="29">
        <f t="shared" si="0"/>
        <v>0</v>
      </c>
      <c r="C26" s="29">
        <f t="shared" si="1"/>
        <v>0</v>
      </c>
      <c r="D26" s="46">
        <f t="shared" si="2"/>
        <v>0</v>
      </c>
      <c r="E26" s="46"/>
      <c r="F26" s="46"/>
      <c r="G26" s="32"/>
      <c r="H26" s="32"/>
    </row>
    <row r="27" spans="1:8" x14ac:dyDescent="0.25">
      <c r="A27" s="69">
        <v>44432</v>
      </c>
      <c r="B27" s="29">
        <f t="shared" si="0"/>
        <v>0</v>
      </c>
      <c r="C27" s="29">
        <f t="shared" si="1"/>
        <v>0</v>
      </c>
      <c r="D27" s="46">
        <f t="shared" si="2"/>
        <v>0</v>
      </c>
      <c r="E27" s="46"/>
      <c r="F27" s="46"/>
      <c r="G27" s="32"/>
      <c r="H27" s="32"/>
    </row>
    <row r="28" spans="1:8" x14ac:dyDescent="0.25">
      <c r="A28" s="69">
        <v>44433</v>
      </c>
      <c r="B28" s="29">
        <f t="shared" si="0"/>
        <v>0</v>
      </c>
      <c r="C28" s="29">
        <f t="shared" si="1"/>
        <v>0</v>
      </c>
      <c r="D28" s="46">
        <f t="shared" si="2"/>
        <v>0</v>
      </c>
      <c r="E28" s="46"/>
      <c r="F28" s="46"/>
      <c r="G28" s="32"/>
      <c r="H28" s="32"/>
    </row>
    <row r="29" spans="1:8" x14ac:dyDescent="0.25">
      <c r="A29" s="69">
        <v>44434</v>
      </c>
      <c r="B29" s="29">
        <f t="shared" si="0"/>
        <v>0</v>
      </c>
      <c r="C29" s="29">
        <f t="shared" si="1"/>
        <v>0</v>
      </c>
      <c r="D29" s="46">
        <f t="shared" si="2"/>
        <v>0</v>
      </c>
      <c r="E29" s="46"/>
      <c r="F29" s="46"/>
      <c r="G29" s="139"/>
      <c r="H29" s="32"/>
    </row>
    <row r="30" spans="1:8" x14ac:dyDescent="0.25">
      <c r="A30" s="69">
        <v>44435</v>
      </c>
      <c r="B30" s="29">
        <f t="shared" si="0"/>
        <v>0</v>
      </c>
      <c r="C30" s="29">
        <f t="shared" si="1"/>
        <v>0</v>
      </c>
      <c r="D30" s="46">
        <f t="shared" si="2"/>
        <v>0</v>
      </c>
      <c r="E30" s="46"/>
      <c r="F30" s="46"/>
      <c r="G30" s="32"/>
      <c r="H30" s="32"/>
    </row>
    <row r="31" spans="1:8" x14ac:dyDescent="0.25">
      <c r="A31" s="69">
        <v>44436</v>
      </c>
      <c r="B31" s="29">
        <f t="shared" si="0"/>
        <v>0</v>
      </c>
      <c r="C31" s="29">
        <f t="shared" si="1"/>
        <v>0</v>
      </c>
      <c r="D31" s="46">
        <f t="shared" si="2"/>
        <v>0</v>
      </c>
      <c r="E31" s="46"/>
      <c r="F31" s="46"/>
      <c r="G31" s="32"/>
      <c r="H31" s="32"/>
    </row>
    <row r="32" spans="1:8" x14ac:dyDescent="0.25">
      <c r="A32" s="69">
        <v>44437</v>
      </c>
      <c r="B32" s="29">
        <f t="shared" si="0"/>
        <v>0</v>
      </c>
      <c r="C32" s="29">
        <f t="shared" si="1"/>
        <v>0</v>
      </c>
      <c r="D32" s="46">
        <f t="shared" si="2"/>
        <v>0</v>
      </c>
      <c r="E32" s="29"/>
      <c r="F32" s="29"/>
      <c r="G32" s="29"/>
      <c r="H32" s="32"/>
    </row>
    <row r="33" spans="1:10" x14ac:dyDescent="0.25">
      <c r="A33" s="69">
        <v>44438</v>
      </c>
      <c r="B33" s="29">
        <f t="shared" si="0"/>
        <v>0</v>
      </c>
      <c r="C33" s="29">
        <f t="shared" si="1"/>
        <v>0</v>
      </c>
      <c r="D33" s="46">
        <f t="shared" si="2"/>
        <v>0</v>
      </c>
      <c r="E33" s="29"/>
      <c r="F33" s="29"/>
      <c r="G33" s="29"/>
      <c r="H33" s="10"/>
    </row>
    <row r="34" spans="1:10" x14ac:dyDescent="0.25">
      <c r="A34" s="69">
        <v>44439</v>
      </c>
      <c r="B34" s="29">
        <f t="shared" si="0"/>
        <v>0</v>
      </c>
      <c r="C34" s="29">
        <f t="shared" si="1"/>
        <v>0</v>
      </c>
      <c r="D34" s="46">
        <f t="shared" si="2"/>
        <v>0</v>
      </c>
      <c r="E34" s="29"/>
      <c r="F34" s="29"/>
      <c r="G34" s="29"/>
      <c r="H34" s="10"/>
      <c r="J34" s="128"/>
    </row>
    <row r="35" spans="1:10" x14ac:dyDescent="0.25">
      <c r="A35" s="27"/>
      <c r="B35" s="29">
        <f t="shared" ref="B35" si="3">+E35+F35</f>
        <v>0</v>
      </c>
      <c r="C35" s="29">
        <f t="shared" si="1"/>
        <v>0</v>
      </c>
      <c r="D35" s="46">
        <f t="shared" si="2"/>
        <v>0</v>
      </c>
      <c r="E35"/>
      <c r="F35"/>
      <c r="G35"/>
      <c r="H35"/>
    </row>
    <row r="36" spans="1:10" x14ac:dyDescent="0.25">
      <c r="A36" s="27"/>
      <c r="B36"/>
      <c r="C36"/>
      <c r="D36"/>
      <c r="E36"/>
      <c r="F36"/>
      <c r="G36"/>
      <c r="H36"/>
    </row>
    <row r="37" spans="1:10" x14ac:dyDescent="0.25">
      <c r="A37" s="27"/>
      <c r="B37"/>
      <c r="C37"/>
      <c r="D37"/>
      <c r="E37"/>
      <c r="F37"/>
      <c r="G37"/>
      <c r="H37"/>
    </row>
    <row r="38" spans="1:10" x14ac:dyDescent="0.25">
      <c r="A38" s="133"/>
      <c r="B38"/>
      <c r="C38"/>
      <c r="D38"/>
      <c r="E38"/>
      <c r="F38"/>
      <c r="G38"/>
      <c r="H38"/>
    </row>
    <row r="39" spans="1:10" x14ac:dyDescent="0.25">
      <c r="A39" s="133"/>
      <c r="B39"/>
      <c r="C39"/>
      <c r="D39"/>
      <c r="E39"/>
      <c r="F39"/>
      <c r="G39"/>
      <c r="H39"/>
    </row>
    <row r="40" spans="1:10" x14ac:dyDescent="0.25">
      <c r="A40" s="133"/>
      <c r="B40"/>
      <c r="C40"/>
      <c r="D40"/>
      <c r="E40"/>
      <c r="F40"/>
      <c r="G40"/>
      <c r="H40"/>
    </row>
    <row r="41" spans="1:10" x14ac:dyDescent="0.25">
      <c r="A41" s="133"/>
      <c r="B41"/>
      <c r="C41"/>
      <c r="D41"/>
      <c r="E41"/>
      <c r="F41"/>
      <c r="G41"/>
      <c r="H41"/>
    </row>
    <row r="42" spans="1:10" x14ac:dyDescent="0.25">
      <c r="A42" s="133"/>
      <c r="B42"/>
      <c r="C42"/>
      <c r="D42"/>
      <c r="E42"/>
      <c r="F42"/>
      <c r="G42"/>
      <c r="H42"/>
    </row>
    <row r="43" spans="1:10" x14ac:dyDescent="0.25">
      <c r="A43" s="133"/>
      <c r="B43"/>
      <c r="C43"/>
      <c r="D43"/>
      <c r="E43"/>
      <c r="F43"/>
      <c r="G43"/>
      <c r="H43"/>
    </row>
    <row r="44" spans="1:10" x14ac:dyDescent="0.25">
      <c r="A44" s="133"/>
      <c r="B44"/>
      <c r="C44"/>
      <c r="D44"/>
      <c r="E44"/>
      <c r="F44"/>
      <c r="G44"/>
      <c r="H44"/>
    </row>
    <row r="45" spans="1:10" x14ac:dyDescent="0.25">
      <c r="A45" s="133"/>
      <c r="B45"/>
      <c r="C45"/>
      <c r="D45"/>
      <c r="E45"/>
      <c r="F45"/>
      <c r="G45"/>
      <c r="H45"/>
    </row>
    <row r="46" spans="1:10" x14ac:dyDescent="0.25">
      <c r="A46" s="133"/>
      <c r="B46"/>
      <c r="C46"/>
      <c r="D46"/>
      <c r="E46"/>
      <c r="F46"/>
      <c r="G46"/>
      <c r="H46"/>
    </row>
    <row r="47" spans="1:10" x14ac:dyDescent="0.25">
      <c r="A47" s="133"/>
      <c r="B47"/>
      <c r="C47"/>
      <c r="D47"/>
      <c r="E47"/>
      <c r="F47"/>
      <c r="G47"/>
      <c r="H47"/>
    </row>
    <row r="48" spans="1:10" x14ac:dyDescent="0.25">
      <c r="A48" s="133"/>
      <c r="B48"/>
      <c r="C48"/>
      <c r="D48"/>
      <c r="E48"/>
      <c r="F48"/>
      <c r="G48"/>
      <c r="H48"/>
    </row>
    <row r="49" spans="1:8" x14ac:dyDescent="0.25">
      <c r="A49" s="133"/>
      <c r="B49"/>
      <c r="C49"/>
      <c r="D49"/>
      <c r="E49"/>
      <c r="F49"/>
      <c r="G49"/>
      <c r="H49"/>
    </row>
    <row r="50" spans="1:8" x14ac:dyDescent="0.25">
      <c r="A50" s="133"/>
      <c r="B50"/>
      <c r="C50"/>
      <c r="D50"/>
      <c r="E50"/>
      <c r="F50"/>
      <c r="G50"/>
      <c r="H50"/>
    </row>
    <row r="51" spans="1:8" x14ac:dyDescent="0.25">
      <c r="A51" s="133"/>
      <c r="B51"/>
      <c r="C51"/>
      <c r="D51"/>
      <c r="E51"/>
      <c r="F51"/>
      <c r="G51"/>
      <c r="H51"/>
    </row>
    <row r="52" spans="1:8" x14ac:dyDescent="0.25">
      <c r="A52" s="133"/>
      <c r="B52"/>
      <c r="C52"/>
      <c r="D52"/>
      <c r="E52"/>
      <c r="F52"/>
      <c r="G52"/>
      <c r="H52"/>
    </row>
    <row r="53" spans="1:8" x14ac:dyDescent="0.25">
      <c r="A53" s="133"/>
      <c r="B53"/>
      <c r="C53"/>
      <c r="D53"/>
      <c r="E53"/>
      <c r="F53"/>
      <c r="G53"/>
      <c r="H53"/>
    </row>
    <row r="54" spans="1:8" x14ac:dyDescent="0.25">
      <c r="A54" s="133"/>
      <c r="B54"/>
      <c r="C54"/>
      <c r="D54"/>
      <c r="E54"/>
      <c r="F54"/>
      <c r="G54"/>
      <c r="H54"/>
    </row>
    <row r="55" spans="1:8" x14ac:dyDescent="0.25">
      <c r="A55" s="133"/>
      <c r="B55"/>
      <c r="C55"/>
      <c r="D55"/>
      <c r="E55"/>
      <c r="F55"/>
      <c r="G55"/>
      <c r="H55"/>
    </row>
    <row r="56" spans="1:8" x14ac:dyDescent="0.25">
      <c r="A56" s="133"/>
      <c r="B56"/>
      <c r="C56"/>
      <c r="D56"/>
      <c r="E56"/>
      <c r="F56"/>
      <c r="G56"/>
      <c r="H56"/>
    </row>
    <row r="57" spans="1:8" x14ac:dyDescent="0.25">
      <c r="A57" s="133"/>
      <c r="B57"/>
      <c r="C57"/>
      <c r="D57"/>
      <c r="E57"/>
      <c r="F57"/>
      <c r="G57"/>
      <c r="H57"/>
    </row>
    <row r="58" spans="1:8" x14ac:dyDescent="0.25">
      <c r="A58" s="133"/>
      <c r="B58"/>
      <c r="C58"/>
      <c r="D58"/>
      <c r="E58"/>
      <c r="F58"/>
      <c r="G58"/>
      <c r="H58"/>
    </row>
    <row r="59" spans="1:8" x14ac:dyDescent="0.25">
      <c r="A59" s="133"/>
      <c r="B59"/>
      <c r="C59"/>
      <c r="D59"/>
      <c r="E59"/>
      <c r="F59"/>
      <c r="G59"/>
      <c r="H59"/>
    </row>
    <row r="60" spans="1:8" x14ac:dyDescent="0.25">
      <c r="A60" s="133"/>
      <c r="B60"/>
      <c r="C60"/>
      <c r="D60"/>
      <c r="E60"/>
      <c r="F60"/>
      <c r="G60"/>
      <c r="H60"/>
    </row>
    <row r="61" spans="1:8" x14ac:dyDescent="0.25">
      <c r="A61" s="133"/>
      <c r="B61"/>
      <c r="C61"/>
      <c r="D61"/>
      <c r="E61"/>
      <c r="F61"/>
      <c r="G61"/>
      <c r="H61"/>
    </row>
    <row r="62" spans="1:8" x14ac:dyDescent="0.25">
      <c r="A62" s="133"/>
      <c r="B62"/>
      <c r="C62"/>
      <c r="D62"/>
      <c r="E62"/>
      <c r="F62"/>
      <c r="G62"/>
      <c r="H62"/>
    </row>
    <row r="63" spans="1:8" x14ac:dyDescent="0.25">
      <c r="A63" s="133"/>
      <c r="B63"/>
      <c r="C63"/>
      <c r="D63"/>
      <c r="E63"/>
      <c r="F63"/>
      <c r="G63"/>
      <c r="H63"/>
    </row>
    <row r="64" spans="1:8" x14ac:dyDescent="0.25">
      <c r="A64" s="133"/>
      <c r="B64"/>
      <c r="C64"/>
      <c r="D64"/>
      <c r="E64"/>
      <c r="F64"/>
      <c r="G64"/>
      <c r="H64"/>
    </row>
    <row r="65" spans="1:8" x14ac:dyDescent="0.25">
      <c r="A65" s="133"/>
      <c r="B65"/>
      <c r="C65"/>
      <c r="D65"/>
      <c r="E65"/>
      <c r="F65"/>
      <c r="G65"/>
      <c r="H65"/>
    </row>
    <row r="66" spans="1:8" x14ac:dyDescent="0.25">
      <c r="A66" s="133"/>
      <c r="B66"/>
      <c r="C66"/>
      <c r="D66"/>
      <c r="E66"/>
      <c r="F66"/>
      <c r="G66"/>
      <c r="H66"/>
    </row>
    <row r="67" spans="1:8" x14ac:dyDescent="0.25">
      <c r="A67" s="133"/>
      <c r="B67"/>
      <c r="C67"/>
      <c r="D67"/>
      <c r="E67"/>
      <c r="F67"/>
      <c r="G67"/>
      <c r="H67"/>
    </row>
    <row r="68" spans="1:8" x14ac:dyDescent="0.25">
      <c r="A68" s="133"/>
      <c r="B68"/>
      <c r="C68"/>
      <c r="D68"/>
      <c r="E68"/>
      <c r="F68"/>
      <c r="G68"/>
      <c r="H68"/>
    </row>
    <row r="69" spans="1:8" x14ac:dyDescent="0.25">
      <c r="A69" s="133"/>
      <c r="B69"/>
      <c r="C69"/>
      <c r="D69"/>
      <c r="E69"/>
      <c r="F69"/>
      <c r="G69"/>
      <c r="H69"/>
    </row>
    <row r="70" spans="1:8" x14ac:dyDescent="0.25">
      <c r="A70" s="133"/>
      <c r="B70"/>
      <c r="C70"/>
      <c r="D70"/>
      <c r="E70"/>
      <c r="F70"/>
      <c r="G70"/>
      <c r="H70"/>
    </row>
    <row r="71" spans="1:8" x14ac:dyDescent="0.25">
      <c r="A71" s="133"/>
      <c r="B71"/>
      <c r="C71"/>
      <c r="D71"/>
      <c r="E71"/>
      <c r="F71"/>
      <c r="G71"/>
      <c r="H71"/>
    </row>
    <row r="72" spans="1:8" x14ac:dyDescent="0.25">
      <c r="A72" s="133"/>
      <c r="B72"/>
      <c r="C72"/>
      <c r="D72"/>
      <c r="E72"/>
      <c r="F72"/>
      <c r="G72"/>
      <c r="H72"/>
    </row>
    <row r="73" spans="1:8" x14ac:dyDescent="0.25">
      <c r="A73" s="133"/>
      <c r="B73"/>
      <c r="C73"/>
      <c r="D73"/>
      <c r="E73"/>
      <c r="F73"/>
      <c r="G73"/>
      <c r="H73"/>
    </row>
    <row r="74" spans="1:8" x14ac:dyDescent="0.25">
      <c r="A74" s="133"/>
      <c r="B74"/>
      <c r="C74"/>
      <c r="D74"/>
      <c r="E74"/>
      <c r="F74"/>
      <c r="G74"/>
      <c r="H74"/>
    </row>
    <row r="75" spans="1:8" x14ac:dyDescent="0.25">
      <c r="A75" s="133"/>
      <c r="B75"/>
      <c r="C75"/>
      <c r="D75"/>
      <c r="E75"/>
      <c r="F75"/>
      <c r="G75"/>
      <c r="H75"/>
    </row>
    <row r="76" spans="1:8" x14ac:dyDescent="0.25">
      <c r="A76" s="133"/>
      <c r="B76"/>
      <c r="C76"/>
      <c r="D76"/>
      <c r="E76"/>
      <c r="F76"/>
      <c r="G76"/>
      <c r="H76"/>
    </row>
    <row r="77" spans="1:8" x14ac:dyDescent="0.25">
      <c r="A77" s="133"/>
      <c r="B77"/>
      <c r="C77"/>
      <c r="D77"/>
      <c r="E77"/>
      <c r="F77"/>
      <c r="G77"/>
      <c r="H77"/>
    </row>
    <row r="78" spans="1:8" x14ac:dyDescent="0.25">
      <c r="A78" s="133"/>
      <c r="B78"/>
      <c r="C78"/>
      <c r="D78"/>
      <c r="E78"/>
      <c r="F78"/>
      <c r="G78"/>
      <c r="H78"/>
    </row>
    <row r="79" spans="1:8" x14ac:dyDescent="0.25">
      <c r="A79" s="133"/>
      <c r="B79"/>
      <c r="C79"/>
      <c r="D79"/>
      <c r="E79"/>
      <c r="F79"/>
      <c r="G79"/>
      <c r="H79"/>
    </row>
    <row r="80" spans="1:8" x14ac:dyDescent="0.25">
      <c r="A80" s="133"/>
      <c r="B80"/>
      <c r="C80"/>
      <c r="D80"/>
      <c r="E80"/>
      <c r="F80"/>
      <c r="G80"/>
      <c r="H80"/>
    </row>
    <row r="81" spans="1:8" x14ac:dyDescent="0.25">
      <c r="A81" s="133"/>
      <c r="B81"/>
      <c r="C81"/>
      <c r="D81"/>
      <c r="E81"/>
      <c r="F81"/>
      <c r="G81"/>
      <c r="H81"/>
    </row>
    <row r="82" spans="1:8" x14ac:dyDescent="0.25">
      <c r="A82" s="133"/>
      <c r="B82"/>
      <c r="C82"/>
      <c r="D82"/>
      <c r="E82"/>
      <c r="F82"/>
      <c r="G82"/>
      <c r="H82"/>
    </row>
    <row r="83" spans="1:8" x14ac:dyDescent="0.25">
      <c r="A83" s="133"/>
      <c r="B83"/>
      <c r="C83"/>
      <c r="D83"/>
      <c r="E83"/>
      <c r="F83"/>
      <c r="G83"/>
      <c r="H83"/>
    </row>
    <row r="84" spans="1:8" x14ac:dyDescent="0.25">
      <c r="A84" s="133"/>
      <c r="B84"/>
      <c r="C84"/>
      <c r="D84"/>
      <c r="E84"/>
      <c r="F84"/>
      <c r="G84"/>
      <c r="H84"/>
    </row>
    <row r="85" spans="1:8" x14ac:dyDescent="0.25">
      <c r="A85" s="133"/>
      <c r="B85"/>
      <c r="C85"/>
      <c r="D85"/>
      <c r="E85"/>
      <c r="F85"/>
      <c r="G85"/>
      <c r="H85"/>
    </row>
    <row r="86" spans="1:8" x14ac:dyDescent="0.25">
      <c r="A86" s="133"/>
      <c r="B86"/>
      <c r="C86"/>
      <c r="D86"/>
      <c r="E86"/>
      <c r="F86"/>
      <c r="G86"/>
      <c r="H86"/>
    </row>
    <row r="87" spans="1:8" x14ac:dyDescent="0.25">
      <c r="A87" s="133"/>
      <c r="B87"/>
      <c r="C87"/>
      <c r="D87"/>
      <c r="E87"/>
      <c r="F87"/>
      <c r="G87"/>
      <c r="H87"/>
    </row>
    <row r="88" spans="1:8" x14ac:dyDescent="0.25">
      <c r="A88" s="133"/>
      <c r="B88"/>
      <c r="C88"/>
      <c r="D88"/>
      <c r="E88"/>
      <c r="F88"/>
      <c r="G88"/>
      <c r="H88"/>
    </row>
    <row r="89" spans="1:8" x14ac:dyDescent="0.25">
      <c r="A89" s="133"/>
      <c r="B89"/>
      <c r="C89"/>
      <c r="D89"/>
      <c r="E89"/>
      <c r="F89"/>
      <c r="G89"/>
      <c r="H89"/>
    </row>
    <row r="90" spans="1:8" x14ac:dyDescent="0.25">
      <c r="A90" s="133"/>
      <c r="B90"/>
      <c r="C90"/>
      <c r="D90"/>
      <c r="E90"/>
      <c r="F90"/>
      <c r="G90"/>
      <c r="H90"/>
    </row>
    <row r="91" spans="1:8" x14ac:dyDescent="0.25">
      <c r="A91"/>
      <c r="B91"/>
      <c r="C91"/>
      <c r="D91"/>
      <c r="E91"/>
      <c r="F91"/>
      <c r="G91"/>
      <c r="H91"/>
    </row>
    <row r="92" spans="1:8" x14ac:dyDescent="0.25">
      <c r="A92"/>
      <c r="B92" s="14">
        <f>SUM(B4:B91)</f>
        <v>0</v>
      </c>
      <c r="C92"/>
      <c r="D92"/>
      <c r="E92"/>
      <c r="F92"/>
      <c r="G92"/>
      <c r="H92"/>
    </row>
    <row r="93" spans="1:8" x14ac:dyDescent="0.25">
      <c r="A93"/>
      <c r="B93"/>
      <c r="C93"/>
      <c r="D93"/>
      <c r="E93"/>
      <c r="F93"/>
      <c r="G93"/>
      <c r="H93"/>
    </row>
    <row r="94" spans="1:8" x14ac:dyDescent="0.25">
      <c r="A94"/>
      <c r="B94"/>
      <c r="C94"/>
      <c r="D94"/>
      <c r="E94"/>
      <c r="F94"/>
      <c r="G94"/>
      <c r="H94"/>
    </row>
    <row r="95" spans="1:8" x14ac:dyDescent="0.25">
      <c r="A95"/>
      <c r="B95"/>
      <c r="C95"/>
      <c r="D95"/>
      <c r="E95"/>
      <c r="F95"/>
      <c r="G95"/>
      <c r="H95"/>
    </row>
    <row r="96" spans="1:8" x14ac:dyDescent="0.25">
      <c r="A96"/>
      <c r="B96"/>
      <c r="C96"/>
      <c r="D96"/>
      <c r="E96"/>
      <c r="F96"/>
      <c r="G96"/>
      <c r="H96"/>
    </row>
    <row r="97" spans="1:8" x14ac:dyDescent="0.25">
      <c r="A97"/>
      <c r="B97"/>
      <c r="C97"/>
      <c r="D97"/>
      <c r="E97"/>
      <c r="F97"/>
      <c r="G97"/>
      <c r="H97"/>
    </row>
    <row r="98" spans="1:8" x14ac:dyDescent="0.25">
      <c r="A98"/>
      <c r="B98"/>
      <c r="C98"/>
      <c r="D98"/>
      <c r="E98"/>
      <c r="F98"/>
      <c r="G98"/>
      <c r="H98"/>
    </row>
    <row r="99" spans="1:8" x14ac:dyDescent="0.25">
      <c r="A99"/>
      <c r="B99"/>
      <c r="C99"/>
      <c r="D99"/>
      <c r="E99"/>
      <c r="F99"/>
      <c r="G99"/>
      <c r="H99"/>
    </row>
    <row r="100" spans="1:8" x14ac:dyDescent="0.25">
      <c r="A100"/>
      <c r="B100"/>
      <c r="C100"/>
      <c r="D100"/>
      <c r="E100"/>
      <c r="F100"/>
      <c r="G100"/>
      <c r="H100"/>
    </row>
    <row r="101" spans="1:8" x14ac:dyDescent="0.25">
      <c r="A101"/>
      <c r="B101"/>
      <c r="C101"/>
      <c r="D101"/>
      <c r="E101"/>
      <c r="F101"/>
      <c r="G101"/>
      <c r="H101"/>
    </row>
    <row r="102" spans="1:8" x14ac:dyDescent="0.25">
      <c r="A102"/>
      <c r="B102"/>
      <c r="C102"/>
      <c r="D102"/>
      <c r="E102"/>
      <c r="F102"/>
      <c r="G102"/>
      <c r="H102"/>
    </row>
    <row r="103" spans="1:8" x14ac:dyDescent="0.25">
      <c r="A103"/>
      <c r="B103"/>
      <c r="C103"/>
      <c r="D103"/>
      <c r="E103"/>
      <c r="F103"/>
      <c r="G103"/>
      <c r="H103"/>
    </row>
    <row r="104" spans="1:8" x14ac:dyDescent="0.25">
      <c r="A104"/>
      <c r="B104"/>
      <c r="C104"/>
      <c r="D104"/>
      <c r="E104"/>
      <c r="F104"/>
      <c r="G104"/>
      <c r="H104"/>
    </row>
    <row r="105" spans="1:8" x14ac:dyDescent="0.25">
      <c r="A105"/>
      <c r="B105"/>
      <c r="C105"/>
      <c r="D105"/>
      <c r="E105"/>
      <c r="F105"/>
      <c r="G105"/>
      <c r="H105"/>
    </row>
    <row r="106" spans="1:8" x14ac:dyDescent="0.25">
      <c r="A106"/>
      <c r="B106"/>
      <c r="C106"/>
      <c r="D106"/>
      <c r="E106"/>
      <c r="F106"/>
      <c r="G106"/>
      <c r="H106"/>
    </row>
    <row r="107" spans="1:8" x14ac:dyDescent="0.25">
      <c r="A107"/>
      <c r="B107"/>
      <c r="C107"/>
      <c r="D107"/>
      <c r="E107"/>
      <c r="F107"/>
      <c r="G107"/>
      <c r="H107"/>
    </row>
    <row r="108" spans="1:8" x14ac:dyDescent="0.25">
      <c r="A108"/>
      <c r="B108"/>
      <c r="C108"/>
      <c r="D108"/>
      <c r="E108"/>
      <c r="F108"/>
      <c r="G108"/>
      <c r="H108"/>
    </row>
    <row r="109" spans="1:8" x14ac:dyDescent="0.25">
      <c r="A109"/>
      <c r="B109"/>
      <c r="C109"/>
      <c r="D109"/>
      <c r="E109"/>
      <c r="F109"/>
      <c r="G109"/>
      <c r="H109"/>
    </row>
    <row r="110" spans="1:8" x14ac:dyDescent="0.25">
      <c r="A110"/>
      <c r="B110"/>
      <c r="C110"/>
      <c r="D110"/>
      <c r="E110"/>
      <c r="F110"/>
      <c r="G110"/>
      <c r="H110"/>
    </row>
    <row r="999" spans="1:1" x14ac:dyDescent="0.25">
      <c r="A999" s="24"/>
    </row>
    <row r="1000" spans="1:1" x14ac:dyDescent="0.25">
      <c r="A1000" s="24"/>
    </row>
    <row r="1001" spans="1:1" x14ac:dyDescent="0.25">
      <c r="A1001" s="24"/>
    </row>
    <row r="1002" spans="1:1" x14ac:dyDescent="0.25">
      <c r="A1002" s="24"/>
    </row>
    <row r="1003" spans="1:1" x14ac:dyDescent="0.25">
      <c r="A1003" s="24"/>
    </row>
    <row r="1004" spans="1:1" x14ac:dyDescent="0.25">
      <c r="A1004" s="24"/>
    </row>
    <row r="1005" spans="1:1" x14ac:dyDescent="0.25">
      <c r="A1005" s="24"/>
    </row>
    <row r="1006" spans="1:1" x14ac:dyDescent="0.25">
      <c r="A1006" s="24"/>
    </row>
    <row r="1007" spans="1:1" x14ac:dyDescent="0.25">
      <c r="A1007" s="24"/>
    </row>
    <row r="1008" spans="1:1" x14ac:dyDescent="0.25">
      <c r="A1008" s="24"/>
    </row>
    <row r="1009" spans="1:1" x14ac:dyDescent="0.25">
      <c r="A1009" s="24"/>
    </row>
    <row r="1010" spans="1:1" x14ac:dyDescent="0.25">
      <c r="A1010" s="24"/>
    </row>
    <row r="1011" spans="1:1" x14ac:dyDescent="0.25">
      <c r="A1011" s="24"/>
    </row>
    <row r="1012" spans="1:1" x14ac:dyDescent="0.25">
      <c r="A1012" s="24"/>
    </row>
    <row r="1013" spans="1:1" x14ac:dyDescent="0.25">
      <c r="A1013" s="24"/>
    </row>
    <row r="1014" spans="1:1" x14ac:dyDescent="0.25">
      <c r="A1014" s="24"/>
    </row>
    <row r="1015" spans="1:1" x14ac:dyDescent="0.25">
      <c r="A1015" s="24"/>
    </row>
    <row r="1016" spans="1:1" x14ac:dyDescent="0.25">
      <c r="A1016" s="24"/>
    </row>
    <row r="1017" spans="1:1" x14ac:dyDescent="0.25">
      <c r="A1017" s="24"/>
    </row>
    <row r="1018" spans="1:1" x14ac:dyDescent="0.25">
      <c r="A1018" s="24"/>
    </row>
    <row r="1019" spans="1:1" x14ac:dyDescent="0.25">
      <c r="A1019" s="24"/>
    </row>
    <row r="1020" spans="1:1" x14ac:dyDescent="0.25">
      <c r="A1020" s="24"/>
    </row>
    <row r="1021" spans="1:1" x14ac:dyDescent="0.25">
      <c r="A1021" s="24"/>
    </row>
    <row r="1022" spans="1:1" x14ac:dyDescent="0.25">
      <c r="A1022" s="24"/>
    </row>
    <row r="1023" spans="1:1" x14ac:dyDescent="0.25">
      <c r="A1023" s="24"/>
    </row>
    <row r="1024" spans="1:1" x14ac:dyDescent="0.25">
      <c r="A1024" s="24"/>
    </row>
    <row r="1025" spans="1:1" x14ac:dyDescent="0.25">
      <c r="A1025" s="24"/>
    </row>
    <row r="1026" spans="1:1" x14ac:dyDescent="0.25">
      <c r="A1026" s="24"/>
    </row>
    <row r="1027" spans="1:1" x14ac:dyDescent="0.25">
      <c r="A1027" s="24"/>
    </row>
    <row r="1028" spans="1:1" x14ac:dyDescent="0.25">
      <c r="A1028" s="24"/>
    </row>
    <row r="1029" spans="1:1" x14ac:dyDescent="0.25">
      <c r="A1029" s="24"/>
    </row>
    <row r="1030" spans="1:1" x14ac:dyDescent="0.25">
      <c r="A1030" s="24"/>
    </row>
    <row r="1031" spans="1:1" x14ac:dyDescent="0.25">
      <c r="A1031" s="24"/>
    </row>
    <row r="1032" spans="1:1" x14ac:dyDescent="0.25">
      <c r="A1032" s="24"/>
    </row>
    <row r="1033" spans="1:1" x14ac:dyDescent="0.25">
      <c r="A1033" s="24"/>
    </row>
    <row r="1034" spans="1:1" x14ac:dyDescent="0.25">
      <c r="A1034" s="24"/>
    </row>
    <row r="1035" spans="1:1" x14ac:dyDescent="0.25">
      <c r="A1035" s="24"/>
    </row>
    <row r="1036" spans="1:1" x14ac:dyDescent="0.25">
      <c r="A1036" s="24"/>
    </row>
    <row r="1037" spans="1:1" x14ac:dyDescent="0.25">
      <c r="A1037" s="24"/>
    </row>
    <row r="1038" spans="1:1" x14ac:dyDescent="0.25">
      <c r="A1038" s="24"/>
    </row>
    <row r="1039" spans="1:1" x14ac:dyDescent="0.25">
      <c r="A1039" s="24"/>
    </row>
    <row r="1040" spans="1:1" x14ac:dyDescent="0.25">
      <c r="A1040" s="24"/>
    </row>
    <row r="1041" spans="1:1" x14ac:dyDescent="0.25">
      <c r="A1041" s="24"/>
    </row>
    <row r="1042" spans="1:1" x14ac:dyDescent="0.25">
      <c r="A1042" s="24"/>
    </row>
    <row r="1043" spans="1:1" x14ac:dyDescent="0.25">
      <c r="A1043" s="24"/>
    </row>
    <row r="1044" spans="1:1" x14ac:dyDescent="0.25">
      <c r="A1044" s="24"/>
    </row>
    <row r="1045" spans="1:1" x14ac:dyDescent="0.25">
      <c r="A1045" s="24"/>
    </row>
  </sheetData>
  <phoneticPr fontId="4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topLeftCell="A5" workbookViewId="0">
      <selection activeCell="A4" sqref="A4:A34"/>
    </sheetView>
  </sheetViews>
  <sheetFormatPr baseColWidth="10" defaultColWidth="11.453125" defaultRowHeight="12.5" x14ac:dyDescent="0.25"/>
  <cols>
    <col min="2" max="2" width="15.453125" customWidth="1"/>
    <col min="3" max="3" width="14.1796875" bestFit="1" customWidth="1"/>
    <col min="4" max="4" width="15.54296875" customWidth="1"/>
    <col min="5" max="5" width="14.26953125" customWidth="1"/>
  </cols>
  <sheetData>
    <row r="1" spans="1:12" x14ac:dyDescent="0.25">
      <c r="A1" t="s">
        <v>11</v>
      </c>
      <c r="B1" s="14"/>
      <c r="C1" s="14"/>
      <c r="D1" s="14"/>
      <c r="L1" t="s">
        <v>1</v>
      </c>
    </row>
    <row r="2" spans="1:12" x14ac:dyDescent="0.25">
      <c r="B2" s="14"/>
      <c r="C2" s="14"/>
      <c r="D2" s="14"/>
    </row>
    <row r="3" spans="1:12" ht="13" x14ac:dyDescent="0.25">
      <c r="A3" s="15" t="s">
        <v>2</v>
      </c>
      <c r="B3" s="16" t="s">
        <v>5</v>
      </c>
      <c r="C3" s="16" t="s">
        <v>6</v>
      </c>
      <c r="D3" s="16" t="s">
        <v>7</v>
      </c>
      <c r="E3" s="15" t="s">
        <v>8</v>
      </c>
    </row>
    <row r="4" spans="1:12" x14ac:dyDescent="0.25">
      <c r="A4" s="69">
        <v>44409</v>
      </c>
      <c r="B4" s="63">
        <v>0</v>
      </c>
      <c r="C4" s="63">
        <v>0</v>
      </c>
      <c r="D4" s="63">
        <f>C4-B4</f>
        <v>0</v>
      </c>
      <c r="E4" s="10"/>
    </row>
    <row r="5" spans="1:12" x14ac:dyDescent="0.25">
      <c r="A5" s="69">
        <v>44410</v>
      </c>
      <c r="B5" s="63">
        <v>0</v>
      </c>
      <c r="C5" s="63">
        <v>0</v>
      </c>
      <c r="D5" s="63">
        <f t="shared" ref="D5:D33" si="0">C5-B5</f>
        <v>0</v>
      </c>
      <c r="E5" s="10"/>
    </row>
    <row r="6" spans="1:12" x14ac:dyDescent="0.25">
      <c r="A6" s="69">
        <v>44411</v>
      </c>
      <c r="B6" s="63">
        <v>0</v>
      </c>
      <c r="C6" s="63">
        <v>0</v>
      </c>
      <c r="D6" s="63">
        <f t="shared" si="0"/>
        <v>0</v>
      </c>
      <c r="E6" s="10"/>
    </row>
    <row r="7" spans="1:12" x14ac:dyDescent="0.25">
      <c r="A7" s="69">
        <v>44412</v>
      </c>
      <c r="B7" s="63">
        <v>0</v>
      </c>
      <c r="C7" s="63">
        <v>0</v>
      </c>
      <c r="D7" s="63">
        <f t="shared" si="0"/>
        <v>0</v>
      </c>
      <c r="E7" s="10"/>
    </row>
    <row r="8" spans="1:12" x14ac:dyDescent="0.25">
      <c r="A8" s="69">
        <v>44413</v>
      </c>
      <c r="B8" s="63">
        <v>0</v>
      </c>
      <c r="C8" s="63">
        <v>0</v>
      </c>
      <c r="D8" s="63">
        <f t="shared" si="0"/>
        <v>0</v>
      </c>
      <c r="E8" s="10"/>
    </row>
    <row r="9" spans="1:12" x14ac:dyDescent="0.25">
      <c r="A9" s="69">
        <v>44414</v>
      </c>
      <c r="B9" s="63">
        <v>0</v>
      </c>
      <c r="C9" s="63">
        <v>0</v>
      </c>
      <c r="D9" s="63">
        <f t="shared" si="0"/>
        <v>0</v>
      </c>
      <c r="E9" s="10"/>
    </row>
    <row r="10" spans="1:12" x14ac:dyDescent="0.25">
      <c r="A10" s="69">
        <v>44415</v>
      </c>
      <c r="B10" s="63">
        <v>0</v>
      </c>
      <c r="C10" s="63">
        <v>0</v>
      </c>
      <c r="D10" s="63">
        <f t="shared" si="0"/>
        <v>0</v>
      </c>
      <c r="E10" s="10"/>
    </row>
    <row r="11" spans="1:12" x14ac:dyDescent="0.25">
      <c r="A11" s="69">
        <v>44416</v>
      </c>
      <c r="B11" s="63">
        <v>0</v>
      </c>
      <c r="C11" s="63">
        <v>0</v>
      </c>
      <c r="D11" s="63">
        <f t="shared" si="0"/>
        <v>0</v>
      </c>
      <c r="E11" s="10"/>
    </row>
    <row r="12" spans="1:12" x14ac:dyDescent="0.25">
      <c r="A12" s="69">
        <v>44417</v>
      </c>
      <c r="B12" s="63">
        <v>0</v>
      </c>
      <c r="C12" s="63">
        <v>0</v>
      </c>
      <c r="D12" s="63">
        <f t="shared" si="0"/>
        <v>0</v>
      </c>
      <c r="E12" s="10"/>
    </row>
    <row r="13" spans="1:12" x14ac:dyDescent="0.25">
      <c r="A13" s="69">
        <v>44418</v>
      </c>
      <c r="B13" s="63">
        <v>0</v>
      </c>
      <c r="C13" s="63">
        <v>0</v>
      </c>
      <c r="D13" s="63">
        <f t="shared" si="0"/>
        <v>0</v>
      </c>
      <c r="E13" s="10"/>
    </row>
    <row r="14" spans="1:12" x14ac:dyDescent="0.25">
      <c r="A14" s="69">
        <v>44419</v>
      </c>
      <c r="B14" s="63">
        <v>0</v>
      </c>
      <c r="C14" s="63">
        <v>0</v>
      </c>
      <c r="D14" s="63">
        <f t="shared" si="0"/>
        <v>0</v>
      </c>
      <c r="E14" s="10"/>
    </row>
    <row r="15" spans="1:12" x14ac:dyDescent="0.25">
      <c r="A15" s="69">
        <v>44420</v>
      </c>
      <c r="B15" s="63">
        <v>0</v>
      </c>
      <c r="C15" s="63">
        <v>0</v>
      </c>
      <c r="D15" s="63">
        <f t="shared" si="0"/>
        <v>0</v>
      </c>
      <c r="E15" s="10"/>
    </row>
    <row r="16" spans="1:12" x14ac:dyDescent="0.25">
      <c r="A16" s="69">
        <v>44421</v>
      </c>
      <c r="B16" s="63">
        <v>0</v>
      </c>
      <c r="C16" s="63">
        <v>0</v>
      </c>
      <c r="D16" s="63">
        <f t="shared" si="0"/>
        <v>0</v>
      </c>
      <c r="E16" s="10"/>
    </row>
    <row r="17" spans="1:5" x14ac:dyDescent="0.25">
      <c r="A17" s="69">
        <v>44422</v>
      </c>
      <c r="B17" s="63">
        <v>0</v>
      </c>
      <c r="C17" s="63">
        <v>0</v>
      </c>
      <c r="D17" s="63">
        <f t="shared" si="0"/>
        <v>0</v>
      </c>
      <c r="E17" s="10"/>
    </row>
    <row r="18" spans="1:5" x14ac:dyDescent="0.25">
      <c r="A18" s="69">
        <v>44423</v>
      </c>
      <c r="B18" s="63">
        <v>0</v>
      </c>
      <c r="C18" s="63">
        <v>0</v>
      </c>
      <c r="D18" s="63">
        <f t="shared" si="0"/>
        <v>0</v>
      </c>
      <c r="E18" s="10"/>
    </row>
    <row r="19" spans="1:5" x14ac:dyDescent="0.25">
      <c r="A19" s="69">
        <v>44424</v>
      </c>
      <c r="B19" s="63">
        <v>0</v>
      </c>
      <c r="C19" s="63">
        <v>0</v>
      </c>
      <c r="D19" s="63">
        <f t="shared" si="0"/>
        <v>0</v>
      </c>
      <c r="E19" s="10"/>
    </row>
    <row r="20" spans="1:5" x14ac:dyDescent="0.25">
      <c r="A20" s="69">
        <v>44425</v>
      </c>
      <c r="B20" s="63">
        <v>0</v>
      </c>
      <c r="C20" s="63">
        <v>0</v>
      </c>
      <c r="D20" s="63">
        <f t="shared" si="0"/>
        <v>0</v>
      </c>
      <c r="E20" s="10"/>
    </row>
    <row r="21" spans="1:5" x14ac:dyDescent="0.25">
      <c r="A21" s="69">
        <v>44426</v>
      </c>
      <c r="B21" s="63">
        <v>0</v>
      </c>
      <c r="C21" s="63">
        <v>0</v>
      </c>
      <c r="D21" s="63">
        <f t="shared" si="0"/>
        <v>0</v>
      </c>
      <c r="E21" s="10"/>
    </row>
    <row r="22" spans="1:5" x14ac:dyDescent="0.25">
      <c r="A22" s="69">
        <v>44427</v>
      </c>
      <c r="B22" s="63">
        <v>0</v>
      </c>
      <c r="C22" s="63">
        <v>0</v>
      </c>
      <c r="D22" s="63">
        <f t="shared" si="0"/>
        <v>0</v>
      </c>
      <c r="E22" s="10"/>
    </row>
    <row r="23" spans="1:5" x14ac:dyDescent="0.25">
      <c r="A23" s="69">
        <v>44428</v>
      </c>
      <c r="B23" s="63">
        <v>0</v>
      </c>
      <c r="C23" s="63">
        <v>0</v>
      </c>
      <c r="D23" s="63">
        <f t="shared" si="0"/>
        <v>0</v>
      </c>
      <c r="E23" s="10"/>
    </row>
    <row r="24" spans="1:5" x14ac:dyDescent="0.25">
      <c r="A24" s="69">
        <v>44429</v>
      </c>
      <c r="B24" s="63">
        <v>0</v>
      </c>
      <c r="C24" s="63">
        <v>0</v>
      </c>
      <c r="D24" s="63">
        <f t="shared" si="0"/>
        <v>0</v>
      </c>
      <c r="E24" s="10"/>
    </row>
    <row r="25" spans="1:5" x14ac:dyDescent="0.25">
      <c r="A25" s="69">
        <v>44430</v>
      </c>
      <c r="B25" s="63">
        <v>0</v>
      </c>
      <c r="C25" s="63">
        <v>0</v>
      </c>
      <c r="D25" s="63">
        <f t="shared" si="0"/>
        <v>0</v>
      </c>
      <c r="E25" s="10"/>
    </row>
    <row r="26" spans="1:5" x14ac:dyDescent="0.25">
      <c r="A26" s="69">
        <v>44431</v>
      </c>
      <c r="B26" s="63">
        <v>0</v>
      </c>
      <c r="C26" s="63">
        <v>0</v>
      </c>
      <c r="D26" s="63">
        <f t="shared" si="0"/>
        <v>0</v>
      </c>
      <c r="E26" s="10"/>
    </row>
    <row r="27" spans="1:5" x14ac:dyDescent="0.25">
      <c r="A27" s="69">
        <v>44432</v>
      </c>
      <c r="B27" s="63">
        <v>0</v>
      </c>
      <c r="C27" s="63">
        <v>0</v>
      </c>
      <c r="D27" s="63">
        <f t="shared" si="0"/>
        <v>0</v>
      </c>
      <c r="E27" s="10"/>
    </row>
    <row r="28" spans="1:5" x14ac:dyDescent="0.25">
      <c r="A28" s="69">
        <v>44433</v>
      </c>
      <c r="B28" s="63">
        <v>0</v>
      </c>
      <c r="C28" s="63">
        <v>0</v>
      </c>
      <c r="D28" s="63">
        <f t="shared" si="0"/>
        <v>0</v>
      </c>
      <c r="E28" s="10"/>
    </row>
    <row r="29" spans="1:5" x14ac:dyDescent="0.25">
      <c r="A29" s="69">
        <v>44434</v>
      </c>
      <c r="B29" s="63">
        <v>0</v>
      </c>
      <c r="C29" s="63">
        <v>0</v>
      </c>
      <c r="D29" s="63">
        <f t="shared" si="0"/>
        <v>0</v>
      </c>
      <c r="E29" s="10"/>
    </row>
    <row r="30" spans="1:5" x14ac:dyDescent="0.25">
      <c r="A30" s="69">
        <v>44435</v>
      </c>
      <c r="B30" s="63">
        <v>0</v>
      </c>
      <c r="C30" s="63">
        <v>0</v>
      </c>
      <c r="D30" s="63">
        <f t="shared" si="0"/>
        <v>0</v>
      </c>
      <c r="E30" s="10"/>
    </row>
    <row r="31" spans="1:5" x14ac:dyDescent="0.25">
      <c r="A31" s="69">
        <v>44436</v>
      </c>
      <c r="B31" s="63">
        <v>0</v>
      </c>
      <c r="C31" s="63">
        <v>0</v>
      </c>
      <c r="D31" s="63">
        <f t="shared" si="0"/>
        <v>0</v>
      </c>
      <c r="E31" s="10"/>
    </row>
    <row r="32" spans="1:5" x14ac:dyDescent="0.25">
      <c r="A32" s="69">
        <v>44437</v>
      </c>
      <c r="B32" s="63">
        <v>0</v>
      </c>
      <c r="C32" s="63">
        <v>0</v>
      </c>
      <c r="D32" s="63">
        <f t="shared" si="0"/>
        <v>0</v>
      </c>
      <c r="E32" s="10"/>
    </row>
    <row r="33" spans="1:5" x14ac:dyDescent="0.25">
      <c r="A33" s="69">
        <v>44438</v>
      </c>
      <c r="B33" s="63">
        <v>0</v>
      </c>
      <c r="C33" s="63">
        <v>0</v>
      </c>
      <c r="D33" s="63">
        <f t="shared" si="0"/>
        <v>0</v>
      </c>
      <c r="E33" s="10"/>
    </row>
    <row r="34" spans="1:5" x14ac:dyDescent="0.25">
      <c r="A34" s="69">
        <v>44439</v>
      </c>
      <c r="B34" s="63"/>
      <c r="C34" s="63"/>
      <c r="D34" s="63"/>
      <c r="E34" s="10"/>
    </row>
  </sheetData>
  <phoneticPr fontId="4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83"/>
  <sheetViews>
    <sheetView topLeftCell="A5" zoomScale="96" zoomScaleNormal="96" workbookViewId="0">
      <selection activeCell="A4" sqref="A4:E85"/>
    </sheetView>
  </sheetViews>
  <sheetFormatPr baseColWidth="10" defaultColWidth="11.453125" defaultRowHeight="13" x14ac:dyDescent="0.3"/>
  <cols>
    <col min="1" max="1" width="12.54296875" customWidth="1"/>
    <col min="2" max="2" width="12.453125" style="14" customWidth="1"/>
    <col min="3" max="3" width="15.7265625" style="14" customWidth="1"/>
    <col min="4" max="4" width="16.7265625" customWidth="1"/>
    <col min="5" max="5" width="54.81640625" bestFit="1" customWidth="1"/>
    <col min="6" max="6" width="42.7265625" style="43" customWidth="1"/>
    <col min="7" max="7" width="14.453125" style="25" bestFit="1" customWidth="1"/>
    <col min="8" max="8" width="11.453125" style="25"/>
    <col min="9" max="9" width="11.453125" style="25" customWidth="1"/>
    <col min="10" max="10" width="11.26953125" style="25" customWidth="1"/>
    <col min="11" max="16384" width="11.453125" style="25"/>
  </cols>
  <sheetData>
    <row r="1" spans="1:7" x14ac:dyDescent="0.3">
      <c r="A1" t="s">
        <v>12</v>
      </c>
      <c r="D1" s="14"/>
      <c r="F1" s="67"/>
    </row>
    <row r="2" spans="1:7" x14ac:dyDescent="0.3">
      <c r="D2" s="14"/>
      <c r="F2" s="67"/>
    </row>
    <row r="3" spans="1:7" ht="26" x14ac:dyDescent="0.3">
      <c r="A3" s="17" t="s">
        <v>2</v>
      </c>
      <c r="B3" s="18" t="s">
        <v>5</v>
      </c>
      <c r="C3" s="18" t="s">
        <v>5</v>
      </c>
      <c r="D3" s="18" t="s">
        <v>7</v>
      </c>
      <c r="E3" s="17" t="s">
        <v>8</v>
      </c>
      <c r="F3" s="67" t="s">
        <v>37</v>
      </c>
      <c r="G3" s="89" t="s">
        <v>36</v>
      </c>
    </row>
    <row r="4" spans="1:7" x14ac:dyDescent="0.3">
      <c r="A4" s="40"/>
      <c r="B4" s="41"/>
      <c r="C4" s="41"/>
      <c r="D4" s="41"/>
      <c r="E4" s="110"/>
      <c r="F4" s="67"/>
      <c r="G4" s="90">
        <f>SUM(F4:F512)</f>
        <v>0</v>
      </c>
    </row>
    <row r="5" spans="1:7" x14ac:dyDescent="0.3">
      <c r="A5" s="40"/>
      <c r="B5" s="41"/>
      <c r="C5" s="41"/>
      <c r="D5" s="41"/>
      <c r="E5" s="110"/>
      <c r="F5" s="67"/>
      <c r="G5" s="90"/>
    </row>
    <row r="6" spans="1:7" x14ac:dyDescent="0.3">
      <c r="A6" s="40"/>
      <c r="B6" s="41"/>
      <c r="C6" s="41"/>
      <c r="D6" s="41"/>
      <c r="E6" s="110"/>
      <c r="F6" s="67"/>
    </row>
    <row r="7" spans="1:7" x14ac:dyDescent="0.3">
      <c r="A7" s="69"/>
      <c r="B7" s="41"/>
      <c r="C7" s="41"/>
      <c r="D7" s="41"/>
      <c r="E7" s="110"/>
      <c r="F7" s="67"/>
    </row>
    <row r="8" spans="1:7" x14ac:dyDescent="0.3">
      <c r="A8" s="40"/>
      <c r="B8" s="41"/>
      <c r="C8" s="41"/>
      <c r="D8" s="41"/>
      <c r="E8" s="44"/>
      <c r="F8" s="67"/>
    </row>
    <row r="9" spans="1:7" x14ac:dyDescent="0.3">
      <c r="A9" s="69"/>
      <c r="B9" s="41"/>
      <c r="C9" s="41"/>
      <c r="D9" s="41"/>
      <c r="E9" s="141"/>
      <c r="F9" s="88"/>
    </row>
    <row r="10" spans="1:7" x14ac:dyDescent="0.3">
      <c r="A10" s="40"/>
      <c r="B10" s="41"/>
      <c r="C10" s="41"/>
      <c r="D10" s="41"/>
      <c r="E10" s="44"/>
      <c r="F10" s="88"/>
    </row>
    <row r="11" spans="1:7" x14ac:dyDescent="0.3">
      <c r="A11" s="40"/>
      <c r="B11" s="41"/>
      <c r="C11" s="41"/>
      <c r="D11" s="41"/>
      <c r="E11" s="44"/>
      <c r="F11" s="88"/>
    </row>
    <row r="12" spans="1:7" x14ac:dyDescent="0.3">
      <c r="A12" s="40"/>
      <c r="B12" s="41"/>
      <c r="C12" s="41"/>
      <c r="D12" s="41"/>
      <c r="E12" s="83"/>
      <c r="F12" s="67"/>
    </row>
    <row r="13" spans="1:7" x14ac:dyDescent="0.3">
      <c r="A13" s="40"/>
      <c r="B13" s="41"/>
      <c r="C13" s="41"/>
      <c r="D13" s="41"/>
      <c r="E13" s="83"/>
      <c r="F13" s="67"/>
    </row>
    <row r="14" spans="1:7" x14ac:dyDescent="0.3">
      <c r="A14" s="40"/>
      <c r="B14" s="41"/>
      <c r="C14" s="41"/>
      <c r="D14" s="41"/>
      <c r="E14" s="83"/>
      <c r="F14" s="67"/>
    </row>
    <row r="15" spans="1:7" x14ac:dyDescent="0.3">
      <c r="A15" s="40"/>
      <c r="B15" s="41"/>
      <c r="C15" s="41"/>
      <c r="D15" s="41"/>
      <c r="E15" s="44"/>
      <c r="F15" s="67"/>
    </row>
    <row r="16" spans="1:7" x14ac:dyDescent="0.3">
      <c r="A16" s="40"/>
      <c r="B16" s="41"/>
      <c r="C16" s="41"/>
      <c r="D16" s="41"/>
      <c r="E16" s="44"/>
      <c r="F16" s="67"/>
    </row>
    <row r="17" spans="1:18" x14ac:dyDescent="0.3">
      <c r="A17" s="40"/>
      <c r="B17" s="41"/>
      <c r="C17" s="41"/>
      <c r="D17" s="41"/>
      <c r="E17" s="44"/>
    </row>
    <row r="18" spans="1:18" x14ac:dyDescent="0.3">
      <c r="A18" s="40"/>
      <c r="B18" s="41"/>
      <c r="C18" s="41"/>
      <c r="D18" s="41"/>
      <c r="E18" s="44"/>
    </row>
    <row r="19" spans="1:18" x14ac:dyDescent="0.3">
      <c r="A19" s="40"/>
      <c r="B19" s="41"/>
      <c r="C19" s="41"/>
      <c r="D19" s="41"/>
      <c r="E19" s="44"/>
    </row>
    <row r="20" spans="1:18" x14ac:dyDescent="0.3">
      <c r="A20" s="40"/>
      <c r="B20" s="41"/>
      <c r="C20" s="41"/>
      <c r="D20" s="41"/>
      <c r="E20" s="44"/>
      <c r="F20" s="67"/>
    </row>
    <row r="21" spans="1:18" x14ac:dyDescent="0.3">
      <c r="A21" s="40"/>
      <c r="B21" s="41"/>
      <c r="C21" s="41"/>
      <c r="D21" s="41"/>
      <c r="E21" s="44"/>
    </row>
    <row r="22" spans="1:18" x14ac:dyDescent="0.3">
      <c r="A22" s="40"/>
      <c r="B22" s="41"/>
      <c r="C22" s="41"/>
      <c r="D22" s="41"/>
      <c r="E22" s="44"/>
    </row>
    <row r="23" spans="1:18" x14ac:dyDescent="0.3">
      <c r="A23" s="40"/>
      <c r="B23" s="41"/>
      <c r="C23" s="41"/>
      <c r="D23" s="41"/>
      <c r="E23" s="44"/>
    </row>
    <row r="24" spans="1:18" x14ac:dyDescent="0.3">
      <c r="A24" s="40"/>
      <c r="B24" s="41"/>
      <c r="C24" s="41"/>
      <c r="D24" s="41"/>
      <c r="E24" s="44"/>
      <c r="F24" s="67"/>
    </row>
    <row r="25" spans="1:18" x14ac:dyDescent="0.3">
      <c r="A25" s="40"/>
      <c r="B25" s="41"/>
      <c r="C25" s="41"/>
      <c r="D25" s="41"/>
      <c r="E25" s="44"/>
    </row>
    <row r="26" spans="1:18" x14ac:dyDescent="0.3">
      <c r="A26" s="40"/>
      <c r="B26" s="41"/>
      <c r="C26" s="41"/>
      <c r="D26" s="41"/>
      <c r="E26" s="44"/>
    </row>
    <row r="27" spans="1:18" x14ac:dyDescent="0.3">
      <c r="A27" s="40"/>
      <c r="B27" s="41"/>
      <c r="C27" s="41"/>
      <c r="D27" s="41"/>
      <c r="E27" s="44"/>
    </row>
    <row r="28" spans="1:18" x14ac:dyDescent="0.3">
      <c r="A28" s="40"/>
      <c r="B28" s="41"/>
      <c r="C28" s="41"/>
      <c r="D28" s="41"/>
      <c r="E28" s="44"/>
    </row>
    <row r="29" spans="1:18" x14ac:dyDescent="0.3">
      <c r="A29" s="40"/>
      <c r="B29" s="41"/>
      <c r="C29" s="41"/>
      <c r="D29" s="41"/>
      <c r="E29" s="44"/>
    </row>
    <row r="30" spans="1:18" x14ac:dyDescent="0.3">
      <c r="A30" s="40"/>
      <c r="B30" s="41"/>
      <c r="C30" s="41"/>
      <c r="D30" s="41"/>
      <c r="E30" s="44"/>
      <c r="R30" s="25" t="s">
        <v>68</v>
      </c>
    </row>
    <row r="31" spans="1:18" x14ac:dyDescent="0.3">
      <c r="A31" s="40"/>
      <c r="B31" s="41"/>
      <c r="C31" s="41"/>
      <c r="D31" s="41"/>
      <c r="E31" s="44"/>
    </row>
    <row r="32" spans="1:18" x14ac:dyDescent="0.3">
      <c r="A32" s="47"/>
      <c r="B32" s="60"/>
      <c r="C32" s="60"/>
      <c r="D32" s="41"/>
      <c r="E32" s="44"/>
    </row>
    <row r="33" spans="1:6" x14ac:dyDescent="0.3">
      <c r="A33" s="47"/>
      <c r="B33" s="41"/>
      <c r="C33" s="41"/>
      <c r="D33" s="41"/>
      <c r="E33" s="10"/>
    </row>
    <row r="34" spans="1:6" x14ac:dyDescent="0.3">
      <c r="A34" s="47"/>
      <c r="B34" s="41"/>
      <c r="C34" s="41"/>
      <c r="D34" s="41"/>
      <c r="E34" s="10"/>
    </row>
    <row r="35" spans="1:6" x14ac:dyDescent="0.3">
      <c r="A35" s="40"/>
      <c r="B35" s="93"/>
      <c r="C35" s="93"/>
      <c r="D35" s="41"/>
      <c r="E35" s="96"/>
    </row>
    <row r="36" spans="1:6" x14ac:dyDescent="0.3">
      <c r="A36" s="40"/>
      <c r="B36" s="93"/>
      <c r="C36" s="93"/>
      <c r="D36" s="41"/>
      <c r="E36" s="96"/>
    </row>
    <row r="37" spans="1:6" x14ac:dyDescent="0.3">
      <c r="A37" s="40"/>
      <c r="B37" s="93"/>
      <c r="C37" s="93"/>
      <c r="D37" s="41"/>
      <c r="E37" s="96"/>
    </row>
    <row r="38" spans="1:6" x14ac:dyDescent="0.3">
      <c r="A38" s="40"/>
      <c r="B38" s="93"/>
      <c r="C38" s="93"/>
      <c r="D38" s="41"/>
      <c r="E38" s="96"/>
    </row>
    <row r="39" spans="1:6" x14ac:dyDescent="0.3">
      <c r="A39" s="40"/>
      <c r="B39" s="99"/>
      <c r="C39" s="99"/>
      <c r="D39" s="41"/>
      <c r="E39" s="96"/>
    </row>
    <row r="40" spans="1:6" x14ac:dyDescent="0.3">
      <c r="A40" s="40"/>
      <c r="B40" s="93"/>
      <c r="C40" s="93"/>
      <c r="D40" s="41"/>
      <c r="E40" s="96"/>
    </row>
    <row r="41" spans="1:6" x14ac:dyDescent="0.3">
      <c r="A41" s="40"/>
      <c r="B41" s="93"/>
      <c r="C41" s="93"/>
      <c r="D41" s="41"/>
      <c r="E41" s="96"/>
      <c r="F41" s="67"/>
    </row>
    <row r="42" spans="1:6" x14ac:dyDescent="0.3">
      <c r="A42" s="40"/>
      <c r="B42" s="93"/>
      <c r="C42" s="93"/>
      <c r="D42" s="41"/>
      <c r="E42" s="96"/>
      <c r="F42" s="88"/>
    </row>
    <row r="43" spans="1:6" x14ac:dyDescent="0.3">
      <c r="A43" s="40"/>
      <c r="B43" s="93"/>
      <c r="C43" s="93"/>
      <c r="D43" s="41"/>
      <c r="E43" s="96"/>
    </row>
    <row r="44" spans="1:6" x14ac:dyDescent="0.3">
      <c r="A44" s="40"/>
      <c r="B44" s="93"/>
      <c r="C44" s="93"/>
      <c r="D44" s="41"/>
      <c r="E44" s="96"/>
    </row>
    <row r="45" spans="1:6" x14ac:dyDescent="0.3">
      <c r="A45" s="40"/>
      <c r="B45" s="93"/>
      <c r="C45" s="93"/>
      <c r="D45" s="41"/>
      <c r="E45" s="96"/>
    </row>
    <row r="46" spans="1:6" x14ac:dyDescent="0.3">
      <c r="A46" s="40"/>
      <c r="B46" s="93"/>
      <c r="C46" s="93"/>
      <c r="D46" s="41"/>
      <c r="E46" s="96"/>
    </row>
    <row r="47" spans="1:6" x14ac:dyDescent="0.3">
      <c r="A47" s="40"/>
      <c r="B47" s="93"/>
      <c r="C47" s="93"/>
      <c r="D47" s="41"/>
      <c r="E47" s="96"/>
    </row>
    <row r="48" spans="1:6" x14ac:dyDescent="0.3">
      <c r="A48" s="40"/>
      <c r="B48" s="93"/>
      <c r="C48" s="93"/>
      <c r="D48" s="41"/>
      <c r="E48" s="96"/>
    </row>
    <row r="49" spans="1:6" x14ac:dyDescent="0.3">
      <c r="A49" s="40"/>
      <c r="B49" s="93"/>
      <c r="C49" s="93"/>
      <c r="D49" s="41"/>
      <c r="E49" s="96"/>
    </row>
    <row r="50" spans="1:6" x14ac:dyDescent="0.3">
      <c r="A50" s="40"/>
      <c r="B50" s="93"/>
      <c r="C50" s="93"/>
      <c r="D50" s="41"/>
      <c r="E50" s="96"/>
    </row>
    <row r="51" spans="1:6" x14ac:dyDescent="0.3">
      <c r="A51" s="40"/>
      <c r="B51" s="93"/>
      <c r="C51" s="93"/>
      <c r="D51" s="41"/>
      <c r="E51" s="96"/>
    </row>
    <row r="52" spans="1:6" x14ac:dyDescent="0.3">
      <c r="A52" s="40"/>
      <c r="B52" s="46"/>
      <c r="C52" s="46"/>
      <c r="D52" s="41"/>
      <c r="E52" s="32"/>
      <c r="F52" s="67"/>
    </row>
    <row r="53" spans="1:6" x14ac:dyDescent="0.3">
      <c r="A53" s="40"/>
      <c r="B53" s="93"/>
      <c r="C53" s="93"/>
      <c r="D53" s="41"/>
      <c r="E53" s="95"/>
    </row>
    <row r="54" spans="1:6" s="138" customFormat="1" x14ac:dyDescent="0.3">
      <c r="A54" s="40"/>
      <c r="B54" s="93"/>
      <c r="C54" s="93"/>
      <c r="D54" s="41"/>
      <c r="E54" s="95"/>
      <c r="F54" s="137"/>
    </row>
    <row r="55" spans="1:6" x14ac:dyDescent="0.3">
      <c r="A55" s="40"/>
      <c r="B55" s="93"/>
      <c r="C55" s="93"/>
      <c r="D55" s="41"/>
      <c r="E55" s="96"/>
    </row>
    <row r="56" spans="1:6" x14ac:dyDescent="0.3">
      <c r="A56" s="40"/>
      <c r="B56" s="93"/>
      <c r="C56" s="93"/>
      <c r="D56" s="41"/>
      <c r="E56" s="96"/>
    </row>
    <row r="57" spans="1:6" x14ac:dyDescent="0.3">
      <c r="A57" s="40"/>
      <c r="B57" s="93"/>
      <c r="C57" s="93"/>
      <c r="D57" s="41"/>
      <c r="E57" s="96"/>
    </row>
    <row r="58" spans="1:6" x14ac:dyDescent="0.3">
      <c r="A58" s="40"/>
      <c r="B58" s="93"/>
      <c r="C58" s="93"/>
      <c r="D58" s="41"/>
      <c r="E58" s="96"/>
    </row>
    <row r="59" spans="1:6" x14ac:dyDescent="0.3">
      <c r="A59" s="40"/>
      <c r="B59" s="46"/>
      <c r="C59" s="46"/>
      <c r="D59" s="41"/>
      <c r="E59" s="32"/>
      <c r="F59" s="67"/>
    </row>
    <row r="60" spans="1:6" x14ac:dyDescent="0.3">
      <c r="A60" s="40"/>
      <c r="B60" s="93"/>
      <c r="C60" s="93"/>
      <c r="D60" s="41"/>
      <c r="E60" s="96"/>
      <c r="F60" s="88"/>
    </row>
    <row r="61" spans="1:6" x14ac:dyDescent="0.3">
      <c r="A61" s="140"/>
      <c r="B61" s="93"/>
      <c r="C61" s="93"/>
      <c r="D61" s="41"/>
      <c r="E61" s="96"/>
    </row>
    <row r="62" spans="1:6" x14ac:dyDescent="0.3">
      <c r="A62" s="140"/>
      <c r="B62" s="93"/>
      <c r="C62" s="93"/>
      <c r="D62" s="41"/>
      <c r="E62" s="96"/>
    </row>
    <row r="63" spans="1:6" x14ac:dyDescent="0.3">
      <c r="A63" s="140"/>
      <c r="B63" s="93"/>
      <c r="C63" s="93"/>
      <c r="D63" s="41"/>
      <c r="E63" s="96"/>
    </row>
    <row r="64" spans="1:6" x14ac:dyDescent="0.3">
      <c r="A64" s="140"/>
      <c r="B64" s="93"/>
      <c r="C64" s="93"/>
      <c r="D64" s="41"/>
      <c r="E64" s="10"/>
    </row>
    <row r="65" spans="1:6" x14ac:dyDescent="0.3">
      <c r="A65" s="140"/>
      <c r="B65" s="93"/>
      <c r="C65" s="93"/>
      <c r="D65" s="41"/>
      <c r="E65" s="96"/>
    </row>
    <row r="66" spans="1:6" x14ac:dyDescent="0.3">
      <c r="A66" s="92"/>
      <c r="B66" s="93"/>
      <c r="C66" s="93"/>
      <c r="D66" s="41"/>
      <c r="E66" s="96"/>
    </row>
    <row r="67" spans="1:6" x14ac:dyDescent="0.3">
      <c r="A67" s="92"/>
      <c r="B67" s="93"/>
      <c r="C67" s="93"/>
      <c r="D67" s="41"/>
      <c r="E67" s="98"/>
    </row>
    <row r="68" spans="1:6" x14ac:dyDescent="0.3">
      <c r="A68" s="92"/>
      <c r="B68" s="93"/>
      <c r="C68" s="93"/>
      <c r="D68" s="41"/>
      <c r="E68" s="96"/>
    </row>
    <row r="69" spans="1:6" x14ac:dyDescent="0.3">
      <c r="A69" s="92"/>
      <c r="B69" s="99"/>
      <c r="C69" s="93"/>
      <c r="D69" s="41"/>
      <c r="E69" s="96"/>
    </row>
    <row r="70" spans="1:6" x14ac:dyDescent="0.3">
      <c r="A70" s="92"/>
      <c r="B70" s="93"/>
      <c r="C70" s="94"/>
      <c r="D70" s="41"/>
      <c r="E70" s="95"/>
    </row>
    <row r="71" spans="1:6" x14ac:dyDescent="0.3">
      <c r="A71" s="92"/>
      <c r="B71" s="93"/>
      <c r="C71" s="94"/>
      <c r="D71" s="41"/>
      <c r="E71" s="95"/>
    </row>
    <row r="72" spans="1:6" x14ac:dyDescent="0.3">
      <c r="A72" s="92"/>
      <c r="B72" s="93"/>
      <c r="C72" s="94"/>
      <c r="D72" s="41"/>
      <c r="E72" s="95"/>
    </row>
    <row r="73" spans="1:6" x14ac:dyDescent="0.3">
      <c r="A73" s="92"/>
      <c r="B73" s="93"/>
      <c r="C73" s="94"/>
      <c r="D73" s="41"/>
      <c r="E73" s="95"/>
    </row>
    <row r="74" spans="1:6" x14ac:dyDescent="0.3">
      <c r="A74" s="92"/>
      <c r="B74" s="93"/>
      <c r="C74" s="93"/>
      <c r="D74" s="41"/>
      <c r="E74" s="95"/>
    </row>
    <row r="75" spans="1:6" x14ac:dyDescent="0.3">
      <c r="A75" s="92"/>
      <c r="B75" s="93"/>
      <c r="C75" s="93"/>
      <c r="D75" s="41"/>
      <c r="E75" s="95"/>
      <c r="F75" s="88"/>
    </row>
    <row r="76" spans="1:6" x14ac:dyDescent="0.3">
      <c r="A76" s="92"/>
      <c r="B76" s="93"/>
      <c r="C76" s="93"/>
      <c r="D76" s="41"/>
      <c r="E76" s="95"/>
    </row>
    <row r="77" spans="1:6" x14ac:dyDescent="0.3">
      <c r="A77" s="92"/>
      <c r="B77" s="93"/>
      <c r="C77" s="93"/>
      <c r="D77" s="41"/>
      <c r="E77" s="95"/>
    </row>
    <row r="78" spans="1:6" x14ac:dyDescent="0.3">
      <c r="A78" s="92"/>
      <c r="B78" s="93"/>
      <c r="C78" s="93"/>
      <c r="D78" s="41"/>
      <c r="E78" s="95"/>
    </row>
    <row r="79" spans="1:6" x14ac:dyDescent="0.3">
      <c r="A79" s="92"/>
      <c r="B79" s="93"/>
      <c r="C79" s="93"/>
      <c r="D79" s="41"/>
      <c r="E79" s="95"/>
    </row>
    <row r="80" spans="1:6" x14ac:dyDescent="0.3">
      <c r="A80" s="92"/>
      <c r="B80" s="93"/>
      <c r="C80" s="93"/>
      <c r="D80" s="41"/>
      <c r="E80" s="95"/>
    </row>
    <row r="81" spans="1:7" x14ac:dyDescent="0.3">
      <c r="A81" s="92"/>
      <c r="B81" s="41"/>
      <c r="C81" s="41"/>
      <c r="D81" s="41"/>
      <c r="E81" s="44"/>
    </row>
    <row r="82" spans="1:7" x14ac:dyDescent="0.3">
      <c r="A82" s="92"/>
      <c r="B82" s="41"/>
      <c r="C82" s="41"/>
      <c r="D82" s="41"/>
      <c r="E82" s="44"/>
    </row>
    <row r="83" spans="1:7" x14ac:dyDescent="0.3">
      <c r="A83" s="92"/>
      <c r="B83" s="41"/>
      <c r="C83" s="41"/>
      <c r="D83" s="41"/>
      <c r="E83" s="74"/>
    </row>
    <row r="84" spans="1:7" x14ac:dyDescent="0.3">
      <c r="A84" s="92"/>
      <c r="B84" s="41"/>
      <c r="C84" s="41"/>
      <c r="D84" s="41"/>
      <c r="E84" s="44"/>
    </row>
    <row r="85" spans="1:7" x14ac:dyDescent="0.3">
      <c r="A85" s="92"/>
      <c r="B85" s="41"/>
      <c r="C85" s="41"/>
      <c r="D85" s="41"/>
      <c r="E85" s="143"/>
    </row>
    <row r="86" spans="1:7" x14ac:dyDescent="0.3">
      <c r="A86" s="40"/>
      <c r="B86" s="41"/>
      <c r="C86" s="41"/>
      <c r="D86" s="41"/>
      <c r="E86" s="44"/>
    </row>
    <row r="87" spans="1:7" x14ac:dyDescent="0.3">
      <c r="A87" s="40"/>
      <c r="B87" s="41"/>
      <c r="C87" s="41"/>
      <c r="D87" s="41"/>
      <c r="E87" s="44"/>
    </row>
    <row r="88" spans="1:7" x14ac:dyDescent="0.3">
      <c r="A88" s="40"/>
      <c r="B88" s="41"/>
      <c r="C88" s="41"/>
      <c r="D88" s="41"/>
      <c r="E88" s="10"/>
    </row>
    <row r="89" spans="1:7" x14ac:dyDescent="0.3">
      <c r="A89" s="40"/>
      <c r="B89" s="41"/>
      <c r="C89" s="41"/>
      <c r="D89" s="41"/>
      <c r="E89" s="10"/>
    </row>
    <row r="90" spans="1:7" x14ac:dyDescent="0.3">
      <c r="A90" s="40"/>
      <c r="B90" s="41"/>
      <c r="C90" s="41"/>
      <c r="D90" s="41"/>
      <c r="E90" s="10"/>
    </row>
    <row r="91" spans="1:7" x14ac:dyDescent="0.3">
      <c r="A91" s="40"/>
      <c r="B91" s="41"/>
      <c r="C91" s="41"/>
      <c r="D91" s="41"/>
      <c r="E91" s="10"/>
    </row>
    <row r="92" spans="1:7" x14ac:dyDescent="0.3">
      <c r="A92" s="40"/>
      <c r="B92" s="41"/>
      <c r="C92" s="41"/>
      <c r="D92" s="41"/>
      <c r="E92" s="10"/>
    </row>
    <row r="93" spans="1:7" x14ac:dyDescent="0.3">
      <c r="A93" s="40"/>
      <c r="B93" s="41"/>
      <c r="C93" s="41"/>
      <c r="D93" s="41"/>
      <c r="E93" s="10"/>
    </row>
    <row r="94" spans="1:7" x14ac:dyDescent="0.3">
      <c r="A94" s="40"/>
      <c r="B94" s="41"/>
      <c r="C94" s="41"/>
      <c r="D94" s="41"/>
      <c r="E94" s="10"/>
    </row>
    <row r="95" spans="1:7" x14ac:dyDescent="0.3">
      <c r="A95" s="40"/>
      <c r="B95" s="41"/>
      <c r="C95" s="41"/>
      <c r="D95" s="41"/>
      <c r="E95" s="10"/>
      <c r="G95" s="78"/>
    </row>
    <row r="96" spans="1:7" x14ac:dyDescent="0.3">
      <c r="A96" s="40"/>
      <c r="B96" s="41"/>
      <c r="C96" s="41"/>
      <c r="D96" s="41"/>
      <c r="E96" s="10"/>
    </row>
    <row r="97" spans="1:5" x14ac:dyDescent="0.3">
      <c r="A97" s="40"/>
      <c r="B97" s="41"/>
      <c r="C97" s="41"/>
      <c r="D97" s="41"/>
      <c r="E97" s="10"/>
    </row>
    <row r="98" spans="1:5" x14ac:dyDescent="0.3">
      <c r="A98" s="40"/>
      <c r="B98" s="41"/>
      <c r="C98" s="41"/>
      <c r="D98" s="41"/>
      <c r="E98" s="10"/>
    </row>
    <row r="99" spans="1:5" x14ac:dyDescent="0.3">
      <c r="A99" s="40"/>
      <c r="B99" s="41"/>
      <c r="C99" s="41"/>
      <c r="D99" s="41"/>
      <c r="E99" s="10"/>
    </row>
    <row r="100" spans="1:5" x14ac:dyDescent="0.3">
      <c r="A100" s="40"/>
      <c r="B100" s="41"/>
      <c r="C100" s="41"/>
      <c r="D100" s="41"/>
      <c r="E100" s="10"/>
    </row>
    <row r="101" spans="1:5" x14ac:dyDescent="0.3">
      <c r="A101" s="40"/>
      <c r="B101" s="41"/>
      <c r="C101" s="41"/>
      <c r="D101" s="41"/>
      <c r="E101" s="10"/>
    </row>
    <row r="102" spans="1:5" x14ac:dyDescent="0.3">
      <c r="A102" s="40"/>
      <c r="B102" s="41"/>
      <c r="C102" s="41"/>
      <c r="D102" s="41"/>
      <c r="E102" s="10"/>
    </row>
    <row r="103" spans="1:5" x14ac:dyDescent="0.3">
      <c r="A103" s="40"/>
      <c r="B103" s="41"/>
      <c r="C103" s="41"/>
      <c r="D103" s="41"/>
      <c r="E103" s="10"/>
    </row>
    <row r="104" spans="1:5" x14ac:dyDescent="0.3">
      <c r="A104" s="40"/>
      <c r="B104" s="41"/>
      <c r="C104" s="41"/>
      <c r="D104" s="41"/>
      <c r="E104" s="10"/>
    </row>
    <row r="105" spans="1:5" x14ac:dyDescent="0.3">
      <c r="A105" s="40"/>
      <c r="B105" s="41"/>
      <c r="C105" s="41"/>
      <c r="D105" s="41"/>
      <c r="E105" s="10"/>
    </row>
    <row r="106" spans="1:5" x14ac:dyDescent="0.3">
      <c r="A106" s="40"/>
      <c r="B106" s="41"/>
      <c r="C106" s="41"/>
      <c r="D106" s="41">
        <f t="shared" ref="D106:D136" si="0">B106-C106</f>
        <v>0</v>
      </c>
      <c r="E106" s="10"/>
    </row>
    <row r="107" spans="1:5" x14ac:dyDescent="0.3">
      <c r="A107" s="40"/>
      <c r="B107" s="41"/>
      <c r="C107" s="41"/>
      <c r="D107" s="41">
        <f t="shared" si="0"/>
        <v>0</v>
      </c>
      <c r="E107" s="10"/>
    </row>
    <row r="108" spans="1:5" x14ac:dyDescent="0.3">
      <c r="A108" s="40"/>
      <c r="B108" s="41"/>
      <c r="C108" s="41"/>
      <c r="D108" s="41">
        <f t="shared" si="0"/>
        <v>0</v>
      </c>
      <c r="E108" s="10"/>
    </row>
    <row r="109" spans="1:5" x14ac:dyDescent="0.3">
      <c r="A109" s="40"/>
      <c r="B109" s="41"/>
      <c r="C109" s="41"/>
      <c r="D109" s="41">
        <f t="shared" si="0"/>
        <v>0</v>
      </c>
      <c r="E109" s="10"/>
    </row>
    <row r="110" spans="1:5" x14ac:dyDescent="0.3">
      <c r="A110" s="40"/>
      <c r="B110" s="41"/>
      <c r="C110" s="41"/>
      <c r="D110" s="41">
        <f t="shared" si="0"/>
        <v>0</v>
      </c>
      <c r="E110" s="10"/>
    </row>
    <row r="111" spans="1:5" x14ac:dyDescent="0.3">
      <c r="A111" s="40"/>
      <c r="B111" s="41"/>
      <c r="C111" s="41"/>
      <c r="D111" s="41">
        <f t="shared" si="0"/>
        <v>0</v>
      </c>
      <c r="E111" s="10"/>
    </row>
    <row r="112" spans="1:5" x14ac:dyDescent="0.3">
      <c r="A112" s="40"/>
      <c r="B112" s="41"/>
      <c r="C112" s="41"/>
      <c r="D112" s="41">
        <f t="shared" si="0"/>
        <v>0</v>
      </c>
      <c r="E112" s="10"/>
    </row>
    <row r="113" spans="1:5" x14ac:dyDescent="0.3">
      <c r="A113" s="40"/>
      <c r="B113" s="41"/>
      <c r="C113" s="41"/>
      <c r="D113" s="41">
        <f t="shared" si="0"/>
        <v>0</v>
      </c>
      <c r="E113" s="10"/>
    </row>
    <row r="114" spans="1:5" x14ac:dyDescent="0.3">
      <c r="A114" s="40"/>
      <c r="B114" s="41"/>
      <c r="C114" s="41"/>
      <c r="D114" s="41">
        <f t="shared" si="0"/>
        <v>0</v>
      </c>
      <c r="E114" s="10"/>
    </row>
    <row r="115" spans="1:5" x14ac:dyDescent="0.3">
      <c r="A115" s="40"/>
      <c r="B115" s="41"/>
      <c r="C115" s="41"/>
      <c r="D115" s="41">
        <f t="shared" si="0"/>
        <v>0</v>
      </c>
      <c r="E115" s="10"/>
    </row>
    <row r="116" spans="1:5" x14ac:dyDescent="0.3">
      <c r="A116" s="40"/>
      <c r="B116" s="41"/>
      <c r="C116" s="41"/>
      <c r="D116" s="41">
        <f t="shared" si="0"/>
        <v>0</v>
      </c>
      <c r="E116" s="10"/>
    </row>
    <row r="117" spans="1:5" x14ac:dyDescent="0.3">
      <c r="A117" s="40"/>
      <c r="B117" s="41"/>
      <c r="C117" s="41"/>
      <c r="D117" s="41">
        <f t="shared" si="0"/>
        <v>0</v>
      </c>
      <c r="E117" s="44"/>
    </row>
    <row r="118" spans="1:5" x14ac:dyDescent="0.3">
      <c r="A118" s="40"/>
      <c r="B118" s="41"/>
      <c r="C118" s="41"/>
      <c r="D118" s="41">
        <f t="shared" si="0"/>
        <v>0</v>
      </c>
      <c r="E118" s="10"/>
    </row>
    <row r="119" spans="1:5" x14ac:dyDescent="0.3">
      <c r="A119" s="40"/>
      <c r="B119" s="41"/>
      <c r="C119" s="41"/>
      <c r="D119" s="41">
        <f t="shared" si="0"/>
        <v>0</v>
      </c>
      <c r="E119" s="10"/>
    </row>
    <row r="120" spans="1:5" x14ac:dyDescent="0.3">
      <c r="A120" s="40"/>
      <c r="B120" s="41"/>
      <c r="C120" s="41"/>
      <c r="D120" s="41">
        <f t="shared" si="0"/>
        <v>0</v>
      </c>
      <c r="E120" s="10"/>
    </row>
    <row r="121" spans="1:5" x14ac:dyDescent="0.3">
      <c r="A121" s="40"/>
      <c r="B121" s="41"/>
      <c r="C121" s="41"/>
      <c r="D121" s="41">
        <f t="shared" si="0"/>
        <v>0</v>
      </c>
      <c r="E121" s="10"/>
    </row>
    <row r="122" spans="1:5" x14ac:dyDescent="0.3">
      <c r="A122" s="40"/>
      <c r="B122" s="41"/>
      <c r="C122" s="61"/>
      <c r="D122" s="41">
        <f t="shared" si="0"/>
        <v>0</v>
      </c>
      <c r="E122" s="62"/>
    </row>
    <row r="123" spans="1:5" x14ac:dyDescent="0.3">
      <c r="A123" s="40"/>
      <c r="B123" s="41"/>
      <c r="C123" s="41"/>
      <c r="D123" s="41">
        <f t="shared" si="0"/>
        <v>0</v>
      </c>
      <c r="E123" s="44"/>
    </row>
    <row r="124" spans="1:5" x14ac:dyDescent="0.3">
      <c r="A124" s="40"/>
      <c r="B124" s="41"/>
      <c r="C124" s="41"/>
      <c r="D124" s="41">
        <f t="shared" si="0"/>
        <v>0</v>
      </c>
      <c r="E124" s="44"/>
    </row>
    <row r="125" spans="1:5" x14ac:dyDescent="0.3">
      <c r="A125" s="40"/>
      <c r="B125" s="41"/>
      <c r="C125" s="41"/>
      <c r="D125" s="41">
        <f t="shared" si="0"/>
        <v>0</v>
      </c>
      <c r="E125" s="10"/>
    </row>
    <row r="126" spans="1:5" x14ac:dyDescent="0.3">
      <c r="A126" s="40"/>
      <c r="B126" s="41"/>
      <c r="C126" s="41"/>
      <c r="D126" s="41">
        <f t="shared" si="0"/>
        <v>0</v>
      </c>
      <c r="E126" s="10"/>
    </row>
    <row r="127" spans="1:5" x14ac:dyDescent="0.3">
      <c r="A127" s="40"/>
      <c r="B127" s="41"/>
      <c r="C127" s="41"/>
      <c r="D127" s="41">
        <f t="shared" si="0"/>
        <v>0</v>
      </c>
      <c r="E127" s="10"/>
    </row>
    <row r="128" spans="1:5" x14ac:dyDescent="0.3">
      <c r="A128" s="40"/>
      <c r="B128" s="41"/>
      <c r="C128" s="41"/>
      <c r="D128" s="41">
        <f t="shared" si="0"/>
        <v>0</v>
      </c>
      <c r="E128" s="10"/>
    </row>
    <row r="129" spans="1:5" x14ac:dyDescent="0.3">
      <c r="A129" s="40"/>
      <c r="B129" s="41"/>
      <c r="C129" s="41"/>
      <c r="D129" s="41">
        <f t="shared" si="0"/>
        <v>0</v>
      </c>
      <c r="E129" s="10"/>
    </row>
    <row r="130" spans="1:5" x14ac:dyDescent="0.3">
      <c r="A130" s="40"/>
      <c r="B130" s="41"/>
      <c r="C130" s="41"/>
      <c r="D130" s="41">
        <f t="shared" si="0"/>
        <v>0</v>
      </c>
      <c r="E130" s="10"/>
    </row>
    <row r="131" spans="1:5" x14ac:dyDescent="0.3">
      <c r="A131" s="40"/>
      <c r="B131" s="41"/>
      <c r="C131" s="41"/>
      <c r="D131" s="41">
        <f t="shared" si="0"/>
        <v>0</v>
      </c>
      <c r="E131" s="44"/>
    </row>
    <row r="132" spans="1:5" x14ac:dyDescent="0.3">
      <c r="A132" s="40"/>
      <c r="B132" s="41"/>
      <c r="C132" s="41"/>
      <c r="D132" s="41">
        <f t="shared" si="0"/>
        <v>0</v>
      </c>
      <c r="E132" s="44"/>
    </row>
    <row r="133" spans="1:5" x14ac:dyDescent="0.3">
      <c r="A133" s="40"/>
      <c r="B133" s="41"/>
      <c r="C133" s="41"/>
      <c r="D133" s="41">
        <f t="shared" si="0"/>
        <v>0</v>
      </c>
      <c r="E133" s="44"/>
    </row>
    <row r="134" spans="1:5" x14ac:dyDescent="0.3">
      <c r="A134" s="40"/>
      <c r="B134" s="41"/>
      <c r="C134" s="41"/>
      <c r="D134" s="41">
        <f t="shared" si="0"/>
        <v>0</v>
      </c>
      <c r="E134" s="10"/>
    </row>
    <row r="135" spans="1:5" x14ac:dyDescent="0.3">
      <c r="A135" s="40"/>
      <c r="B135" s="41"/>
      <c r="C135" s="41"/>
      <c r="D135" s="41">
        <f t="shared" si="0"/>
        <v>0</v>
      </c>
      <c r="E135" s="10"/>
    </row>
    <row r="136" spans="1:5" x14ac:dyDescent="0.3">
      <c r="A136" s="40"/>
      <c r="B136" s="41"/>
      <c r="C136" s="41"/>
      <c r="D136" s="41">
        <f t="shared" si="0"/>
        <v>0</v>
      </c>
      <c r="E136" s="10"/>
    </row>
    <row r="137" spans="1:5" x14ac:dyDescent="0.3">
      <c r="A137" s="40"/>
      <c r="B137" s="41"/>
      <c r="C137" s="41"/>
      <c r="D137" s="41">
        <f t="shared" ref="D137:D147" si="1">B137-C137</f>
        <v>0</v>
      </c>
      <c r="E137" s="10"/>
    </row>
    <row r="138" spans="1:5" x14ac:dyDescent="0.3">
      <c r="A138" s="40"/>
      <c r="B138" s="41"/>
      <c r="C138" s="41"/>
      <c r="D138" s="41">
        <f t="shared" si="1"/>
        <v>0</v>
      </c>
      <c r="E138" s="10"/>
    </row>
    <row r="139" spans="1:5" x14ac:dyDescent="0.3">
      <c r="A139" s="40"/>
      <c r="B139" s="61"/>
      <c r="C139" s="41"/>
      <c r="D139" s="41">
        <f t="shared" si="1"/>
        <v>0</v>
      </c>
      <c r="E139" s="10"/>
    </row>
    <row r="140" spans="1:5" x14ac:dyDescent="0.3">
      <c r="A140" s="40"/>
      <c r="B140" s="41"/>
      <c r="C140" s="41"/>
      <c r="D140" s="41">
        <f t="shared" si="1"/>
        <v>0</v>
      </c>
      <c r="E140" s="10"/>
    </row>
    <row r="141" spans="1:5" x14ac:dyDescent="0.3">
      <c r="A141" s="40"/>
      <c r="B141" s="41"/>
      <c r="C141" s="41"/>
      <c r="D141" s="41">
        <f t="shared" si="1"/>
        <v>0</v>
      </c>
      <c r="E141" s="10"/>
    </row>
    <row r="142" spans="1:5" x14ac:dyDescent="0.3">
      <c r="A142" s="40"/>
      <c r="B142" s="41"/>
      <c r="C142" s="41"/>
      <c r="D142" s="41">
        <f t="shared" si="1"/>
        <v>0</v>
      </c>
      <c r="E142" s="10"/>
    </row>
    <row r="143" spans="1:5" x14ac:dyDescent="0.3">
      <c r="A143" s="40"/>
      <c r="B143" s="41"/>
      <c r="C143" s="41"/>
      <c r="D143" s="41">
        <f t="shared" si="1"/>
        <v>0</v>
      </c>
      <c r="E143" s="10"/>
    </row>
    <row r="144" spans="1:5" x14ac:dyDescent="0.3">
      <c r="A144" s="40"/>
      <c r="B144" s="41"/>
      <c r="C144" s="41"/>
      <c r="D144" s="41">
        <f t="shared" si="1"/>
        <v>0</v>
      </c>
      <c r="E144" s="10"/>
    </row>
    <row r="145" spans="1:5" x14ac:dyDescent="0.3">
      <c r="A145" s="40"/>
      <c r="B145" s="41"/>
      <c r="C145" s="41"/>
      <c r="D145" s="41">
        <f t="shared" si="1"/>
        <v>0</v>
      </c>
      <c r="E145" s="10"/>
    </row>
    <row r="146" spans="1:5" x14ac:dyDescent="0.3">
      <c r="A146" s="40"/>
      <c r="B146" s="41"/>
      <c r="C146" s="41"/>
      <c r="D146" s="41">
        <f t="shared" si="1"/>
        <v>0</v>
      </c>
      <c r="E146" s="10"/>
    </row>
    <row r="147" spans="1:5" x14ac:dyDescent="0.3">
      <c r="A147" s="40"/>
      <c r="B147" s="41"/>
      <c r="C147" s="41"/>
      <c r="D147" s="41">
        <f t="shared" si="1"/>
        <v>0</v>
      </c>
      <c r="E147" s="10"/>
    </row>
    <row r="148" spans="1:5" x14ac:dyDescent="0.3">
      <c r="A148" s="40"/>
      <c r="B148" s="41"/>
      <c r="C148" s="41"/>
      <c r="D148" s="41">
        <f t="shared" ref="D148:D200" si="2">B148-C148</f>
        <v>0</v>
      </c>
      <c r="E148" s="10"/>
    </row>
    <row r="149" spans="1:5" x14ac:dyDescent="0.3">
      <c r="A149" s="40"/>
      <c r="B149" s="41"/>
      <c r="C149" s="41"/>
      <c r="D149" s="41">
        <f t="shared" si="2"/>
        <v>0</v>
      </c>
      <c r="E149" s="10"/>
    </row>
    <row r="150" spans="1:5" x14ac:dyDescent="0.3">
      <c r="A150" s="40"/>
      <c r="B150" s="41"/>
      <c r="C150" s="41"/>
      <c r="D150" s="41">
        <f t="shared" si="2"/>
        <v>0</v>
      </c>
      <c r="E150" s="10"/>
    </row>
    <row r="151" spans="1:5" x14ac:dyDescent="0.3">
      <c r="A151" s="40"/>
      <c r="B151" s="41"/>
      <c r="C151" s="41"/>
      <c r="D151" s="41">
        <f t="shared" si="2"/>
        <v>0</v>
      </c>
      <c r="E151" s="44"/>
    </row>
    <row r="152" spans="1:5" x14ac:dyDescent="0.3">
      <c r="A152" s="40"/>
      <c r="B152" s="41"/>
      <c r="C152" s="41"/>
      <c r="D152" s="41">
        <f t="shared" si="2"/>
        <v>0</v>
      </c>
      <c r="E152" s="10"/>
    </row>
    <row r="153" spans="1:5" x14ac:dyDescent="0.3">
      <c r="A153" s="40"/>
      <c r="B153" s="41"/>
      <c r="C153" s="41"/>
      <c r="D153" s="41">
        <f t="shared" si="2"/>
        <v>0</v>
      </c>
      <c r="E153" s="10"/>
    </row>
    <row r="154" spans="1:5" x14ac:dyDescent="0.3">
      <c r="A154" s="40"/>
      <c r="B154" s="41"/>
      <c r="C154" s="41"/>
      <c r="D154" s="41">
        <f t="shared" si="2"/>
        <v>0</v>
      </c>
      <c r="E154" s="10"/>
    </row>
    <row r="155" spans="1:5" x14ac:dyDescent="0.3">
      <c r="A155" s="40"/>
      <c r="B155" s="41"/>
      <c r="C155" s="41"/>
      <c r="D155" s="41">
        <f t="shared" si="2"/>
        <v>0</v>
      </c>
      <c r="E155" s="10"/>
    </row>
    <row r="156" spans="1:5" x14ac:dyDescent="0.3">
      <c r="A156" s="40"/>
      <c r="B156" s="41"/>
      <c r="C156" s="41"/>
      <c r="D156" s="41">
        <f t="shared" si="2"/>
        <v>0</v>
      </c>
      <c r="E156" s="10"/>
    </row>
    <row r="157" spans="1:5" x14ac:dyDescent="0.3">
      <c r="A157" s="40"/>
      <c r="B157" s="41"/>
      <c r="C157" s="41"/>
      <c r="D157" s="41">
        <f t="shared" si="2"/>
        <v>0</v>
      </c>
      <c r="E157" s="10"/>
    </row>
    <row r="158" spans="1:5" x14ac:dyDescent="0.3">
      <c r="A158" s="40"/>
      <c r="B158" s="41"/>
      <c r="C158" s="41"/>
      <c r="D158" s="41">
        <f t="shared" si="2"/>
        <v>0</v>
      </c>
      <c r="E158" s="10"/>
    </row>
    <row r="159" spans="1:5" x14ac:dyDescent="0.3">
      <c r="A159" s="40"/>
      <c r="B159" s="41"/>
      <c r="C159" s="41"/>
      <c r="D159" s="41">
        <f t="shared" si="2"/>
        <v>0</v>
      </c>
      <c r="E159" s="10"/>
    </row>
    <row r="160" spans="1:5" x14ac:dyDescent="0.3">
      <c r="A160" s="40"/>
      <c r="B160" s="41"/>
      <c r="C160" s="41"/>
      <c r="D160" s="41">
        <f t="shared" si="2"/>
        <v>0</v>
      </c>
      <c r="E160" s="41"/>
    </row>
    <row r="161" spans="1:5" x14ac:dyDescent="0.3">
      <c r="A161" s="40"/>
      <c r="B161" s="41"/>
      <c r="C161" s="41"/>
      <c r="D161" s="41">
        <f t="shared" si="2"/>
        <v>0</v>
      </c>
      <c r="E161" s="10"/>
    </row>
    <row r="162" spans="1:5" x14ac:dyDescent="0.3">
      <c r="A162" s="40"/>
      <c r="B162" s="41"/>
      <c r="C162" s="41"/>
      <c r="D162" s="41">
        <f t="shared" si="2"/>
        <v>0</v>
      </c>
      <c r="E162" s="10"/>
    </row>
    <row r="163" spans="1:5" x14ac:dyDescent="0.3">
      <c r="A163" s="40"/>
      <c r="B163" s="41"/>
      <c r="C163" s="41"/>
      <c r="D163" s="41">
        <f t="shared" si="2"/>
        <v>0</v>
      </c>
      <c r="E163" s="10"/>
    </row>
    <row r="164" spans="1:5" x14ac:dyDescent="0.3">
      <c r="A164" s="40"/>
      <c r="B164" s="41"/>
      <c r="C164" s="41"/>
      <c r="D164" s="41">
        <f t="shared" si="2"/>
        <v>0</v>
      </c>
      <c r="E164" s="10"/>
    </row>
    <row r="165" spans="1:5" x14ac:dyDescent="0.3">
      <c r="A165" s="40"/>
      <c r="B165" s="41"/>
      <c r="C165" s="41"/>
      <c r="D165" s="41">
        <f t="shared" si="2"/>
        <v>0</v>
      </c>
      <c r="E165" s="10"/>
    </row>
    <row r="166" spans="1:5" x14ac:dyDescent="0.3">
      <c r="A166" s="40"/>
      <c r="B166" s="41"/>
      <c r="C166" s="41"/>
      <c r="D166" s="41">
        <f t="shared" si="2"/>
        <v>0</v>
      </c>
      <c r="E166" s="10"/>
    </row>
    <row r="167" spans="1:5" x14ac:dyDescent="0.3">
      <c r="A167" s="40"/>
      <c r="B167" s="41"/>
      <c r="C167" s="41"/>
      <c r="D167" s="41">
        <f t="shared" si="2"/>
        <v>0</v>
      </c>
      <c r="E167" s="10"/>
    </row>
    <row r="168" spans="1:5" x14ac:dyDescent="0.3">
      <c r="A168" s="40"/>
      <c r="B168" s="41"/>
      <c r="C168" s="41"/>
      <c r="D168" s="41">
        <f t="shared" si="2"/>
        <v>0</v>
      </c>
      <c r="E168" s="10"/>
    </row>
    <row r="169" spans="1:5" x14ac:dyDescent="0.3">
      <c r="A169" s="40"/>
      <c r="B169" s="41"/>
      <c r="C169" s="41"/>
      <c r="D169" s="41">
        <f t="shared" si="2"/>
        <v>0</v>
      </c>
      <c r="E169" s="10"/>
    </row>
    <row r="170" spans="1:5" x14ac:dyDescent="0.3">
      <c r="A170" s="40"/>
      <c r="B170" s="41"/>
      <c r="C170" s="41"/>
      <c r="D170" s="41">
        <f t="shared" si="2"/>
        <v>0</v>
      </c>
      <c r="E170" s="10"/>
    </row>
    <row r="171" spans="1:5" x14ac:dyDescent="0.3">
      <c r="A171" s="40"/>
      <c r="B171" s="41"/>
      <c r="C171" s="41"/>
      <c r="D171" s="41">
        <f t="shared" si="2"/>
        <v>0</v>
      </c>
      <c r="E171" s="10"/>
    </row>
    <row r="172" spans="1:5" x14ac:dyDescent="0.3">
      <c r="A172" s="40"/>
      <c r="B172" s="41"/>
      <c r="C172" s="41"/>
      <c r="D172" s="41">
        <f t="shared" si="2"/>
        <v>0</v>
      </c>
      <c r="E172" s="10"/>
    </row>
    <row r="173" spans="1:5" x14ac:dyDescent="0.3">
      <c r="A173" s="40"/>
      <c r="B173" s="41"/>
      <c r="C173" s="41"/>
      <c r="D173" s="41">
        <f t="shared" si="2"/>
        <v>0</v>
      </c>
      <c r="E173" s="10"/>
    </row>
    <row r="174" spans="1:5" x14ac:dyDescent="0.3">
      <c r="A174" s="40"/>
      <c r="B174" s="41"/>
      <c r="C174" s="41"/>
      <c r="D174" s="41">
        <f t="shared" si="2"/>
        <v>0</v>
      </c>
      <c r="E174" s="10"/>
    </row>
    <row r="175" spans="1:5" x14ac:dyDescent="0.3">
      <c r="A175" s="40"/>
      <c r="B175" s="41"/>
      <c r="C175" s="41"/>
      <c r="D175" s="41">
        <f t="shared" si="2"/>
        <v>0</v>
      </c>
      <c r="E175" s="10"/>
    </row>
    <row r="176" spans="1:5" x14ac:dyDescent="0.3">
      <c r="A176" s="40"/>
      <c r="B176" s="41"/>
      <c r="C176" s="41"/>
      <c r="D176" s="41">
        <f t="shared" si="2"/>
        <v>0</v>
      </c>
      <c r="E176" s="10"/>
    </row>
    <row r="177" spans="1:5" x14ac:dyDescent="0.3">
      <c r="A177" s="40"/>
      <c r="B177" s="41"/>
      <c r="C177" s="41"/>
      <c r="D177" s="41">
        <f t="shared" si="2"/>
        <v>0</v>
      </c>
      <c r="E177" s="10"/>
    </row>
    <row r="178" spans="1:5" x14ac:dyDescent="0.3">
      <c r="A178" s="40"/>
      <c r="B178" s="41"/>
      <c r="C178" s="41"/>
      <c r="D178" s="41">
        <f t="shared" si="2"/>
        <v>0</v>
      </c>
      <c r="E178" s="10"/>
    </row>
    <row r="179" spans="1:5" x14ac:dyDescent="0.3">
      <c r="A179" s="40"/>
      <c r="B179" s="41"/>
      <c r="C179" s="41"/>
      <c r="D179" s="41">
        <f t="shared" si="2"/>
        <v>0</v>
      </c>
      <c r="E179" s="10"/>
    </row>
    <row r="180" spans="1:5" x14ac:dyDescent="0.3">
      <c r="A180" s="40"/>
      <c r="B180" s="41"/>
      <c r="C180" s="41"/>
      <c r="D180" s="41">
        <f t="shared" si="2"/>
        <v>0</v>
      </c>
      <c r="E180" s="10"/>
    </row>
    <row r="181" spans="1:5" x14ac:dyDescent="0.3">
      <c r="A181" s="40"/>
      <c r="B181" s="41"/>
      <c r="C181" s="41"/>
      <c r="D181" s="41">
        <f t="shared" si="2"/>
        <v>0</v>
      </c>
      <c r="E181" s="10"/>
    </row>
    <row r="182" spans="1:5" x14ac:dyDescent="0.3">
      <c r="A182" s="40"/>
      <c r="B182" s="41"/>
      <c r="C182" s="41"/>
      <c r="D182" s="41">
        <f t="shared" si="2"/>
        <v>0</v>
      </c>
      <c r="E182" s="10"/>
    </row>
    <row r="183" spans="1:5" x14ac:dyDescent="0.3">
      <c r="A183" s="40"/>
      <c r="B183" s="41"/>
      <c r="C183" s="41"/>
      <c r="D183" s="41">
        <f t="shared" si="2"/>
        <v>0</v>
      </c>
      <c r="E183" s="10"/>
    </row>
    <row r="184" spans="1:5" x14ac:dyDescent="0.3">
      <c r="A184" s="40"/>
      <c r="B184" s="41"/>
      <c r="C184" s="41"/>
      <c r="D184" s="41">
        <f t="shared" si="2"/>
        <v>0</v>
      </c>
      <c r="E184" s="10"/>
    </row>
    <row r="185" spans="1:5" x14ac:dyDescent="0.3">
      <c r="A185" s="40"/>
      <c r="B185" s="41"/>
      <c r="C185" s="41"/>
      <c r="D185" s="41">
        <f t="shared" si="2"/>
        <v>0</v>
      </c>
      <c r="E185" s="10"/>
    </row>
    <row r="186" spans="1:5" x14ac:dyDescent="0.3">
      <c r="A186" s="40"/>
      <c r="B186" s="41"/>
      <c r="C186" s="41"/>
      <c r="D186" s="41">
        <f t="shared" si="2"/>
        <v>0</v>
      </c>
      <c r="E186" s="10"/>
    </row>
    <row r="187" spans="1:5" x14ac:dyDescent="0.3">
      <c r="A187" s="40"/>
      <c r="B187" s="41"/>
      <c r="C187" s="41"/>
      <c r="D187" s="41">
        <f t="shared" si="2"/>
        <v>0</v>
      </c>
      <c r="E187" s="10"/>
    </row>
    <row r="188" spans="1:5" x14ac:dyDescent="0.3">
      <c r="A188" s="40"/>
      <c r="B188" s="41"/>
      <c r="C188" s="41"/>
      <c r="D188" s="41">
        <f t="shared" si="2"/>
        <v>0</v>
      </c>
      <c r="E188" s="10"/>
    </row>
    <row r="189" spans="1:5" x14ac:dyDescent="0.3">
      <c r="A189" s="40"/>
      <c r="B189" s="41"/>
      <c r="C189" s="41"/>
      <c r="D189" s="41">
        <f t="shared" si="2"/>
        <v>0</v>
      </c>
      <c r="E189" s="10"/>
    </row>
    <row r="190" spans="1:5" x14ac:dyDescent="0.3">
      <c r="A190" s="40"/>
      <c r="B190" s="41"/>
      <c r="C190" s="41"/>
      <c r="D190" s="41">
        <f t="shared" si="2"/>
        <v>0</v>
      </c>
      <c r="E190" s="10"/>
    </row>
    <row r="191" spans="1:5" x14ac:dyDescent="0.3">
      <c r="A191" s="40"/>
      <c r="B191" s="41"/>
      <c r="C191" s="41"/>
      <c r="D191" s="41">
        <f t="shared" si="2"/>
        <v>0</v>
      </c>
      <c r="E191" s="10"/>
    </row>
    <row r="192" spans="1:5" x14ac:dyDescent="0.3">
      <c r="A192" s="40"/>
      <c r="B192" s="41"/>
      <c r="C192" s="41"/>
      <c r="D192" s="41">
        <f t="shared" si="2"/>
        <v>0</v>
      </c>
      <c r="E192" s="10"/>
    </row>
    <row r="193" spans="1:5" x14ac:dyDescent="0.3">
      <c r="A193" s="40"/>
      <c r="B193" s="41"/>
      <c r="C193" s="41"/>
      <c r="D193" s="41">
        <f t="shared" si="2"/>
        <v>0</v>
      </c>
      <c r="E193" s="10"/>
    </row>
    <row r="194" spans="1:5" x14ac:dyDescent="0.3">
      <c r="A194" s="40"/>
      <c r="B194" s="41"/>
      <c r="C194" s="41"/>
      <c r="D194" s="41">
        <f t="shared" si="2"/>
        <v>0</v>
      </c>
      <c r="E194" s="10"/>
    </row>
    <row r="195" spans="1:5" x14ac:dyDescent="0.3">
      <c r="A195" s="40"/>
      <c r="B195" s="41"/>
      <c r="C195" s="41"/>
      <c r="D195" s="41">
        <f t="shared" si="2"/>
        <v>0</v>
      </c>
      <c r="E195" s="10"/>
    </row>
    <row r="196" spans="1:5" x14ac:dyDescent="0.3">
      <c r="A196" s="40"/>
      <c r="B196" s="41"/>
      <c r="C196" s="41"/>
      <c r="D196" s="41">
        <f t="shared" si="2"/>
        <v>0</v>
      </c>
      <c r="E196" s="10"/>
    </row>
    <row r="197" spans="1:5" x14ac:dyDescent="0.3">
      <c r="A197" s="40"/>
      <c r="B197" s="41"/>
      <c r="C197" s="41"/>
      <c r="D197" s="41">
        <f t="shared" si="2"/>
        <v>0</v>
      </c>
      <c r="E197" s="10"/>
    </row>
    <row r="198" spans="1:5" x14ac:dyDescent="0.3">
      <c r="A198" s="40"/>
      <c r="B198" s="41"/>
      <c r="C198" s="41"/>
      <c r="D198" s="41">
        <f t="shared" si="2"/>
        <v>0</v>
      </c>
      <c r="E198" s="10"/>
    </row>
    <row r="199" spans="1:5" x14ac:dyDescent="0.3">
      <c r="A199" s="40"/>
      <c r="B199" s="41"/>
      <c r="C199" s="41"/>
      <c r="D199" s="41">
        <f t="shared" si="2"/>
        <v>0</v>
      </c>
      <c r="E199" s="10"/>
    </row>
    <row r="200" spans="1:5" x14ac:dyDescent="0.3">
      <c r="A200" s="40"/>
      <c r="B200" s="41"/>
      <c r="C200" s="41"/>
      <c r="D200" s="41">
        <f t="shared" si="2"/>
        <v>0</v>
      </c>
      <c r="E200" s="10"/>
    </row>
    <row r="201" spans="1:5" x14ac:dyDescent="0.3">
      <c r="A201" s="40"/>
      <c r="B201" s="41"/>
      <c r="C201" s="41"/>
      <c r="D201" s="29"/>
      <c r="E201" s="10"/>
    </row>
    <row r="202" spans="1:5" x14ac:dyDescent="0.3">
      <c r="A202" s="40"/>
      <c r="B202" s="41"/>
      <c r="C202" s="41"/>
      <c r="D202" s="29"/>
      <c r="E202" s="10"/>
    </row>
    <row r="203" spans="1:5" x14ac:dyDescent="0.3">
      <c r="A203" s="40"/>
      <c r="B203" s="41"/>
      <c r="C203" s="41"/>
      <c r="D203" s="29"/>
      <c r="E203" s="10"/>
    </row>
    <row r="204" spans="1:5" x14ac:dyDescent="0.3">
      <c r="A204" s="40"/>
      <c r="B204" s="41"/>
      <c r="C204" s="41"/>
      <c r="D204" s="29"/>
      <c r="E204" s="10"/>
    </row>
    <row r="205" spans="1:5" x14ac:dyDescent="0.3">
      <c r="A205" s="40"/>
      <c r="B205" s="41"/>
      <c r="C205" s="41"/>
      <c r="D205" s="29"/>
      <c r="E205" s="10"/>
    </row>
    <row r="206" spans="1:5" x14ac:dyDescent="0.3">
      <c r="A206" s="40"/>
      <c r="B206" s="41"/>
      <c r="C206" s="41"/>
      <c r="D206" s="29"/>
      <c r="E206" s="10"/>
    </row>
    <row r="207" spans="1:5" x14ac:dyDescent="0.3">
      <c r="A207" s="40"/>
      <c r="B207" s="41"/>
      <c r="C207" s="41"/>
      <c r="D207" s="29"/>
      <c r="E207" s="10"/>
    </row>
    <row r="208" spans="1:5" x14ac:dyDescent="0.3">
      <c r="A208" s="10"/>
      <c r="B208" s="41"/>
      <c r="C208" s="41"/>
      <c r="D208" s="29"/>
      <c r="E208" s="10"/>
    </row>
    <row r="209" spans="1:5" x14ac:dyDescent="0.3">
      <c r="A209" s="10"/>
      <c r="B209" s="41"/>
      <c r="C209" s="41"/>
      <c r="D209" s="29"/>
      <c r="E209" s="10"/>
    </row>
    <row r="210" spans="1:5" x14ac:dyDescent="0.3">
      <c r="A210" s="10"/>
      <c r="B210" s="41"/>
      <c r="C210" s="41"/>
      <c r="D210" s="29"/>
      <c r="E210" s="10"/>
    </row>
    <row r="211" spans="1:5" x14ac:dyDescent="0.3">
      <c r="A211" s="10"/>
      <c r="B211" s="41"/>
      <c r="C211" s="41"/>
      <c r="D211" s="29"/>
      <c r="E211" s="10"/>
    </row>
    <row r="212" spans="1:5" x14ac:dyDescent="0.3">
      <c r="A212" s="10"/>
      <c r="B212" s="41"/>
      <c r="C212" s="41"/>
      <c r="D212" s="29"/>
      <c r="E212" s="10"/>
    </row>
    <row r="213" spans="1:5" x14ac:dyDescent="0.3">
      <c r="A213" s="10"/>
      <c r="B213" s="41"/>
      <c r="C213" s="41"/>
      <c r="D213" s="29"/>
      <c r="E213" s="10"/>
    </row>
    <row r="214" spans="1:5" x14ac:dyDescent="0.3">
      <c r="A214" s="10"/>
      <c r="B214" s="41"/>
      <c r="C214" s="41"/>
      <c r="D214" s="29"/>
      <c r="E214" s="10"/>
    </row>
    <row r="215" spans="1:5" x14ac:dyDescent="0.3">
      <c r="A215" s="10"/>
      <c r="B215" s="41"/>
      <c r="C215" s="41"/>
      <c r="D215" s="29"/>
      <c r="E215" s="10"/>
    </row>
    <row r="216" spans="1:5" x14ac:dyDescent="0.3">
      <c r="A216" s="10"/>
      <c r="B216" s="41"/>
      <c r="C216" s="41"/>
      <c r="D216" s="29"/>
      <c r="E216" s="10"/>
    </row>
    <row r="217" spans="1:5" x14ac:dyDescent="0.3">
      <c r="A217" s="10"/>
      <c r="B217" s="41"/>
      <c r="C217" s="41"/>
      <c r="D217" s="29"/>
      <c r="E217" s="10"/>
    </row>
    <row r="218" spans="1:5" x14ac:dyDescent="0.3">
      <c r="A218" s="10"/>
      <c r="B218" s="41"/>
      <c r="C218" s="41"/>
      <c r="D218" s="29"/>
      <c r="E218" s="10"/>
    </row>
    <row r="219" spans="1:5" x14ac:dyDescent="0.3">
      <c r="A219" s="10"/>
      <c r="B219" s="41"/>
      <c r="C219" s="41"/>
      <c r="D219" s="29"/>
      <c r="E219" s="10"/>
    </row>
    <row r="220" spans="1:5" x14ac:dyDescent="0.3">
      <c r="A220" s="10"/>
      <c r="B220" s="41"/>
      <c r="C220" s="41"/>
      <c r="D220" s="29"/>
      <c r="E220" s="10"/>
    </row>
    <row r="221" spans="1:5" x14ac:dyDescent="0.3">
      <c r="A221" s="10"/>
      <c r="B221" s="41"/>
      <c r="C221" s="41"/>
      <c r="D221" s="29"/>
      <c r="E221" s="10"/>
    </row>
    <row r="222" spans="1:5" x14ac:dyDescent="0.3">
      <c r="A222" s="10"/>
      <c r="B222" s="41"/>
      <c r="C222" s="41"/>
      <c r="D222" s="29"/>
      <c r="E222" s="10"/>
    </row>
    <row r="223" spans="1:5" x14ac:dyDescent="0.3">
      <c r="A223" s="10"/>
      <c r="B223" s="41"/>
      <c r="C223" s="41"/>
      <c r="D223" s="29"/>
      <c r="E223" s="10"/>
    </row>
    <row r="224" spans="1:5" x14ac:dyDescent="0.3">
      <c r="A224" s="10"/>
      <c r="B224" s="41"/>
      <c r="C224" s="41"/>
      <c r="D224" s="29"/>
      <c r="E224" s="10"/>
    </row>
    <row r="225" spans="1:5" x14ac:dyDescent="0.3">
      <c r="A225" s="10"/>
      <c r="B225" s="41"/>
      <c r="C225" s="41"/>
      <c r="D225" s="29"/>
      <c r="E225" s="10"/>
    </row>
    <row r="226" spans="1:5" x14ac:dyDescent="0.3">
      <c r="A226" s="10"/>
      <c r="B226" s="41"/>
      <c r="C226" s="41"/>
      <c r="D226" s="29"/>
      <c r="E226" s="10"/>
    </row>
    <row r="227" spans="1:5" x14ac:dyDescent="0.3">
      <c r="A227" s="10"/>
      <c r="B227" s="41"/>
      <c r="C227" s="41"/>
      <c r="D227" s="29"/>
      <c r="E227" s="10"/>
    </row>
    <row r="228" spans="1:5" x14ac:dyDescent="0.3">
      <c r="A228" s="10"/>
      <c r="B228" s="41"/>
      <c r="C228" s="41"/>
      <c r="D228" s="29"/>
      <c r="E228" s="10"/>
    </row>
    <row r="229" spans="1:5" x14ac:dyDescent="0.3">
      <c r="A229" s="10"/>
      <c r="B229" s="41"/>
      <c r="C229" s="41"/>
      <c r="D229" s="29"/>
      <c r="E229" s="10"/>
    </row>
    <row r="230" spans="1:5" x14ac:dyDescent="0.3">
      <c r="A230" s="10"/>
      <c r="B230" s="41"/>
      <c r="C230" s="41"/>
      <c r="D230" s="29"/>
      <c r="E230" s="10"/>
    </row>
    <row r="231" spans="1:5" x14ac:dyDescent="0.3">
      <c r="A231" s="10"/>
      <c r="B231" s="41"/>
      <c r="C231" s="41"/>
      <c r="D231" s="29"/>
      <c r="E231" s="10"/>
    </row>
    <row r="232" spans="1:5" x14ac:dyDescent="0.3">
      <c r="A232" s="10"/>
      <c r="B232" s="41"/>
      <c r="C232" s="41"/>
      <c r="D232" s="29"/>
      <c r="E232" s="10"/>
    </row>
    <row r="233" spans="1:5" x14ac:dyDescent="0.3">
      <c r="A233" s="10"/>
      <c r="B233" s="41"/>
      <c r="C233" s="41"/>
      <c r="D233" s="29"/>
      <c r="E233" s="10"/>
    </row>
    <row r="234" spans="1:5" x14ac:dyDescent="0.3">
      <c r="A234" s="10"/>
      <c r="B234" s="41"/>
      <c r="C234" s="41"/>
      <c r="D234" s="29"/>
      <c r="E234" s="10"/>
    </row>
    <row r="235" spans="1:5" x14ac:dyDescent="0.3">
      <c r="A235" s="10"/>
      <c r="B235" s="41"/>
      <c r="C235" s="41"/>
      <c r="D235" s="29"/>
      <c r="E235" s="10"/>
    </row>
    <row r="236" spans="1:5" x14ac:dyDescent="0.3">
      <c r="A236" s="10"/>
      <c r="B236" s="41"/>
      <c r="C236" s="41"/>
      <c r="D236" s="29"/>
      <c r="E236" s="10"/>
    </row>
    <row r="237" spans="1:5" x14ac:dyDescent="0.3">
      <c r="A237" s="10"/>
      <c r="B237" s="41"/>
      <c r="C237" s="41"/>
      <c r="D237" s="29"/>
      <c r="E237" s="10"/>
    </row>
    <row r="238" spans="1:5" x14ac:dyDescent="0.3">
      <c r="A238" s="10"/>
      <c r="B238" s="41"/>
      <c r="C238" s="41"/>
      <c r="D238" s="29"/>
      <c r="E238" s="10"/>
    </row>
    <row r="239" spans="1:5" x14ac:dyDescent="0.3">
      <c r="A239" s="10"/>
      <c r="B239" s="41"/>
      <c r="C239" s="41"/>
      <c r="D239" s="29"/>
      <c r="E239" s="10"/>
    </row>
    <row r="240" spans="1:5" x14ac:dyDescent="0.3">
      <c r="A240" s="10"/>
      <c r="B240" s="41"/>
      <c r="C240" s="41"/>
      <c r="D240" s="29"/>
      <c r="E240" s="10"/>
    </row>
    <row r="241" spans="1:5" x14ac:dyDescent="0.3">
      <c r="A241" s="10"/>
      <c r="B241" s="41"/>
      <c r="C241" s="41"/>
      <c r="D241" s="29"/>
      <c r="E241" s="10"/>
    </row>
    <row r="242" spans="1:5" x14ac:dyDescent="0.3">
      <c r="A242" s="10"/>
      <c r="B242" s="41"/>
      <c r="C242" s="41"/>
      <c r="D242" s="29"/>
      <c r="E242" s="10"/>
    </row>
    <row r="243" spans="1:5" x14ac:dyDescent="0.3">
      <c r="A243" s="10"/>
      <c r="B243" s="41"/>
      <c r="C243" s="41"/>
      <c r="D243" s="29"/>
      <c r="E243" s="10"/>
    </row>
    <row r="244" spans="1:5" x14ac:dyDescent="0.3">
      <c r="A244" s="10"/>
      <c r="B244" s="41"/>
      <c r="C244" s="41"/>
      <c r="D244" s="29"/>
      <c r="E244" s="10"/>
    </row>
    <row r="245" spans="1:5" x14ac:dyDescent="0.3">
      <c r="A245" s="10"/>
      <c r="B245" s="41"/>
      <c r="C245" s="41"/>
      <c r="D245" s="29"/>
      <c r="E245" s="10"/>
    </row>
    <row r="246" spans="1:5" x14ac:dyDescent="0.3">
      <c r="A246" s="10"/>
      <c r="B246" s="41"/>
      <c r="C246" s="41"/>
      <c r="D246" s="29"/>
      <c r="E246" s="10"/>
    </row>
    <row r="247" spans="1:5" x14ac:dyDescent="0.3">
      <c r="A247" s="10"/>
      <c r="B247" s="41"/>
      <c r="C247" s="41"/>
      <c r="D247" s="29"/>
      <c r="E247" s="10"/>
    </row>
    <row r="248" spans="1:5" x14ac:dyDescent="0.3">
      <c r="A248" s="10"/>
      <c r="B248" s="41"/>
      <c r="C248" s="41"/>
      <c r="D248" s="29"/>
      <c r="E248" s="10"/>
    </row>
    <row r="249" spans="1:5" x14ac:dyDescent="0.3">
      <c r="A249" s="10"/>
      <c r="B249" s="41"/>
      <c r="C249" s="41"/>
      <c r="D249" s="29"/>
      <c r="E249" s="10"/>
    </row>
    <row r="250" spans="1:5" x14ac:dyDescent="0.3">
      <c r="A250" s="10"/>
      <c r="B250" s="41"/>
      <c r="C250" s="41"/>
      <c r="D250" s="29"/>
      <c r="E250" s="10"/>
    </row>
    <row r="251" spans="1:5" x14ac:dyDescent="0.3">
      <c r="A251" s="10"/>
      <c r="B251" s="41"/>
      <c r="C251" s="41"/>
      <c r="D251" s="29"/>
      <c r="E251" s="10"/>
    </row>
    <row r="252" spans="1:5" x14ac:dyDescent="0.3">
      <c r="A252" s="10"/>
      <c r="B252" s="41"/>
      <c r="C252" s="41"/>
      <c r="D252" s="29"/>
      <c r="E252" s="10"/>
    </row>
    <row r="253" spans="1:5" x14ac:dyDescent="0.3">
      <c r="A253" s="10"/>
      <c r="B253" s="41"/>
      <c r="C253" s="41"/>
      <c r="D253" s="29"/>
      <c r="E253" s="10"/>
    </row>
    <row r="254" spans="1:5" x14ac:dyDescent="0.3">
      <c r="A254" s="10"/>
      <c r="B254" s="41"/>
      <c r="C254" s="41"/>
      <c r="D254" s="29"/>
      <c r="E254" s="10"/>
    </row>
    <row r="255" spans="1:5" x14ac:dyDescent="0.3">
      <c r="A255" s="10"/>
      <c r="B255" s="41"/>
      <c r="C255" s="41"/>
      <c r="D255" s="29"/>
      <c r="E255" s="10"/>
    </row>
    <row r="256" spans="1:5" x14ac:dyDescent="0.3">
      <c r="A256" s="10"/>
      <c r="B256" s="41"/>
      <c r="C256" s="41"/>
      <c r="D256" s="29"/>
      <c r="E256" s="10"/>
    </row>
    <row r="257" spans="1:5" x14ac:dyDescent="0.3">
      <c r="A257" s="10"/>
      <c r="B257" s="41"/>
      <c r="C257" s="41"/>
      <c r="D257" s="29"/>
      <c r="E257" s="10"/>
    </row>
    <row r="258" spans="1:5" x14ac:dyDescent="0.3">
      <c r="A258" s="10"/>
      <c r="B258" s="41"/>
      <c r="C258" s="41"/>
      <c r="D258" s="29"/>
      <c r="E258" s="10"/>
    </row>
    <row r="259" spans="1:5" x14ac:dyDescent="0.3">
      <c r="A259" s="10"/>
      <c r="B259" s="41"/>
      <c r="C259" s="41"/>
      <c r="D259" s="29"/>
      <c r="E259" s="10"/>
    </row>
    <row r="260" spans="1:5" x14ac:dyDescent="0.3">
      <c r="A260" s="10"/>
      <c r="B260" s="41"/>
      <c r="C260" s="41"/>
      <c r="D260" s="29"/>
      <c r="E260" s="10"/>
    </row>
    <row r="261" spans="1:5" x14ac:dyDescent="0.3">
      <c r="A261" s="10"/>
      <c r="B261" s="41"/>
      <c r="C261" s="41"/>
      <c r="D261" s="29"/>
      <c r="E261" s="10"/>
    </row>
    <row r="262" spans="1:5" x14ac:dyDescent="0.3">
      <c r="A262" s="10"/>
      <c r="B262" s="41"/>
      <c r="C262" s="41"/>
      <c r="D262" s="29"/>
      <c r="E262" s="10"/>
    </row>
    <row r="263" spans="1:5" x14ac:dyDescent="0.3">
      <c r="A263" s="10"/>
      <c r="B263" s="41"/>
      <c r="C263" s="41"/>
      <c r="D263" s="29"/>
      <c r="E263" s="10"/>
    </row>
    <row r="264" spans="1:5" x14ac:dyDescent="0.3">
      <c r="A264" s="10"/>
      <c r="B264" s="41"/>
      <c r="C264" s="41"/>
      <c r="D264" s="29"/>
      <c r="E264" s="10"/>
    </row>
    <row r="265" spans="1:5" x14ac:dyDescent="0.3">
      <c r="A265" s="10"/>
      <c r="B265" s="41"/>
      <c r="C265" s="41"/>
      <c r="D265" s="29"/>
      <c r="E265" s="10"/>
    </row>
    <row r="266" spans="1:5" x14ac:dyDescent="0.3">
      <c r="A266" s="10"/>
      <c r="B266" s="41"/>
      <c r="C266" s="41"/>
      <c r="D266" s="29"/>
      <c r="E266" s="10"/>
    </row>
    <row r="267" spans="1:5" x14ac:dyDescent="0.3">
      <c r="A267" s="10"/>
      <c r="B267" s="41"/>
      <c r="C267" s="41"/>
      <c r="D267" s="29"/>
      <c r="E267" s="10"/>
    </row>
    <row r="268" spans="1:5" x14ac:dyDescent="0.3">
      <c r="A268" s="10"/>
      <c r="B268" s="41"/>
      <c r="C268" s="41"/>
      <c r="D268" s="29"/>
      <c r="E268" s="10"/>
    </row>
    <row r="269" spans="1:5" x14ac:dyDescent="0.3">
      <c r="A269" s="10"/>
      <c r="B269" s="41"/>
      <c r="C269" s="41"/>
      <c r="D269" s="29"/>
      <c r="E269" s="10"/>
    </row>
    <row r="270" spans="1:5" x14ac:dyDescent="0.3">
      <c r="A270" s="10"/>
      <c r="B270" s="41"/>
      <c r="C270" s="41"/>
      <c r="D270" s="29"/>
      <c r="E270" s="10"/>
    </row>
    <row r="271" spans="1:5" x14ac:dyDescent="0.3">
      <c r="A271" s="10"/>
      <c r="B271" s="41"/>
      <c r="C271" s="41"/>
      <c r="D271" s="29"/>
      <c r="E271" s="10"/>
    </row>
    <row r="272" spans="1:5" x14ac:dyDescent="0.3">
      <c r="A272" s="10"/>
      <c r="B272" s="41"/>
      <c r="C272" s="41"/>
      <c r="D272" s="29"/>
      <c r="E272" s="10"/>
    </row>
    <row r="273" spans="1:5" x14ac:dyDescent="0.3">
      <c r="A273" s="10"/>
      <c r="B273" s="41"/>
      <c r="C273" s="41"/>
      <c r="D273" s="29"/>
      <c r="E273" s="10"/>
    </row>
    <row r="274" spans="1:5" x14ac:dyDescent="0.3">
      <c r="A274" s="10"/>
      <c r="B274" s="41"/>
      <c r="C274" s="41"/>
      <c r="D274" s="29"/>
      <c r="E274" s="10"/>
    </row>
    <row r="275" spans="1:5" x14ac:dyDescent="0.3">
      <c r="A275" s="10"/>
      <c r="B275" s="41"/>
      <c r="C275" s="41"/>
      <c r="D275" s="29"/>
      <c r="E275" s="10"/>
    </row>
    <row r="276" spans="1:5" x14ac:dyDescent="0.3">
      <c r="A276" s="10"/>
      <c r="B276" s="41"/>
      <c r="C276" s="41"/>
      <c r="D276" s="29"/>
      <c r="E276" s="10"/>
    </row>
    <row r="277" spans="1:5" x14ac:dyDescent="0.3">
      <c r="A277" s="10"/>
      <c r="B277" s="41"/>
      <c r="C277" s="41"/>
      <c r="D277" s="29"/>
      <c r="E277" s="10"/>
    </row>
    <row r="278" spans="1:5" x14ac:dyDescent="0.3">
      <c r="A278" s="10"/>
      <c r="B278" s="41"/>
      <c r="C278" s="41"/>
      <c r="D278" s="29"/>
      <c r="E278" s="10"/>
    </row>
    <row r="279" spans="1:5" x14ac:dyDescent="0.3">
      <c r="A279" s="10"/>
      <c r="B279" s="41"/>
      <c r="C279" s="41"/>
      <c r="D279" s="29"/>
      <c r="E279" s="10"/>
    </row>
    <row r="280" spans="1:5" x14ac:dyDescent="0.3">
      <c r="A280" s="10"/>
      <c r="B280" s="41"/>
      <c r="C280" s="41"/>
      <c r="D280" s="29"/>
      <c r="E280" s="10"/>
    </row>
    <row r="281" spans="1:5" x14ac:dyDescent="0.3">
      <c r="A281" s="10"/>
      <c r="B281" s="41"/>
      <c r="C281" s="41"/>
      <c r="D281" s="29"/>
      <c r="E281" s="10"/>
    </row>
    <row r="282" spans="1:5" x14ac:dyDescent="0.3">
      <c r="A282" s="10"/>
      <c r="B282" s="41"/>
      <c r="C282" s="41"/>
      <c r="D282" s="29"/>
      <c r="E282" s="10"/>
    </row>
    <row r="283" spans="1:5" x14ac:dyDescent="0.3">
      <c r="A283" s="10"/>
      <c r="B283" s="41"/>
      <c r="C283" s="41"/>
      <c r="D283" s="29"/>
      <c r="E283" s="10"/>
    </row>
    <row r="284" spans="1:5" x14ac:dyDescent="0.3">
      <c r="A284" s="10"/>
      <c r="B284" s="41"/>
      <c r="C284" s="41"/>
      <c r="D284" s="29"/>
      <c r="E284" s="10"/>
    </row>
    <row r="285" spans="1:5" x14ac:dyDescent="0.3">
      <c r="A285" s="10"/>
      <c r="B285" s="41"/>
      <c r="C285" s="41"/>
      <c r="D285" s="29"/>
      <c r="E285" s="10"/>
    </row>
    <row r="286" spans="1:5" x14ac:dyDescent="0.3">
      <c r="A286" s="10"/>
      <c r="B286" s="41"/>
      <c r="C286" s="41"/>
      <c r="D286" s="29"/>
      <c r="E286" s="10"/>
    </row>
    <row r="287" spans="1:5" x14ac:dyDescent="0.3">
      <c r="A287" s="10"/>
      <c r="B287" s="41"/>
      <c r="C287" s="41"/>
      <c r="D287" s="29"/>
      <c r="E287" s="10"/>
    </row>
    <row r="288" spans="1:5" x14ac:dyDescent="0.3">
      <c r="A288" s="10"/>
      <c r="B288" s="41"/>
      <c r="C288" s="41"/>
      <c r="D288" s="29"/>
      <c r="E288" s="10"/>
    </row>
    <row r="289" spans="1:5" x14ac:dyDescent="0.3">
      <c r="A289" s="10"/>
      <c r="B289" s="41"/>
      <c r="C289" s="41"/>
      <c r="D289" s="29"/>
      <c r="E289" s="10"/>
    </row>
    <row r="290" spans="1:5" x14ac:dyDescent="0.3">
      <c r="A290" s="10"/>
      <c r="B290" s="41"/>
      <c r="C290" s="41"/>
      <c r="D290" s="29"/>
      <c r="E290" s="10"/>
    </row>
    <row r="291" spans="1:5" x14ac:dyDescent="0.3">
      <c r="A291" s="10"/>
      <c r="B291" s="41"/>
      <c r="C291" s="41"/>
      <c r="D291" s="29"/>
      <c r="E291" s="10"/>
    </row>
    <row r="292" spans="1:5" x14ac:dyDescent="0.3">
      <c r="A292" s="10"/>
      <c r="B292" s="41"/>
      <c r="C292" s="41"/>
      <c r="D292" s="29"/>
      <c r="E292" s="10"/>
    </row>
    <row r="293" spans="1:5" x14ac:dyDescent="0.3">
      <c r="A293" s="10"/>
      <c r="B293" s="41"/>
      <c r="C293" s="41"/>
      <c r="D293" s="29"/>
      <c r="E293" s="10"/>
    </row>
    <row r="294" spans="1:5" x14ac:dyDescent="0.3">
      <c r="A294" s="10"/>
      <c r="B294" s="41"/>
      <c r="C294" s="41"/>
      <c r="D294" s="29"/>
      <c r="E294" s="10"/>
    </row>
    <row r="295" spans="1:5" x14ac:dyDescent="0.3">
      <c r="A295" s="10"/>
      <c r="B295" s="41"/>
      <c r="C295" s="41"/>
      <c r="D295" s="29"/>
      <c r="E295" s="10"/>
    </row>
    <row r="296" spans="1:5" x14ac:dyDescent="0.3">
      <c r="A296" s="10"/>
      <c r="B296" s="41"/>
      <c r="C296" s="41"/>
      <c r="D296" s="29"/>
      <c r="E296" s="10"/>
    </row>
    <row r="297" spans="1:5" x14ac:dyDescent="0.3">
      <c r="A297" s="10"/>
      <c r="B297" s="41"/>
      <c r="C297" s="41"/>
      <c r="D297" s="29"/>
      <c r="E297" s="10"/>
    </row>
    <row r="298" spans="1:5" x14ac:dyDescent="0.3">
      <c r="A298" s="10"/>
      <c r="B298" s="41"/>
      <c r="C298" s="41"/>
      <c r="D298" s="29"/>
      <c r="E298" s="10"/>
    </row>
    <row r="299" spans="1:5" x14ac:dyDescent="0.3">
      <c r="A299" s="10"/>
      <c r="B299" s="41"/>
      <c r="C299" s="41"/>
      <c r="D299" s="29"/>
      <c r="E299" s="10"/>
    </row>
    <row r="300" spans="1:5" x14ac:dyDescent="0.3">
      <c r="A300" s="10"/>
      <c r="B300" s="41"/>
      <c r="C300" s="41"/>
      <c r="D300" s="29"/>
      <c r="E300" s="10"/>
    </row>
    <row r="301" spans="1:5" x14ac:dyDescent="0.3">
      <c r="A301" s="10"/>
      <c r="B301" s="41"/>
      <c r="C301" s="41"/>
      <c r="D301" s="29"/>
      <c r="E301" s="10"/>
    </row>
    <row r="302" spans="1:5" x14ac:dyDescent="0.3">
      <c r="A302" s="10"/>
      <c r="B302" s="41"/>
      <c r="C302" s="41"/>
      <c r="D302" s="29"/>
      <c r="E302" s="10"/>
    </row>
    <row r="303" spans="1:5" x14ac:dyDescent="0.3">
      <c r="A303" s="10"/>
      <c r="B303" s="41"/>
      <c r="C303" s="41"/>
      <c r="D303" s="29"/>
      <c r="E303" s="10"/>
    </row>
    <row r="304" spans="1:5" x14ac:dyDescent="0.3">
      <c r="A304" s="10"/>
      <c r="B304" s="41"/>
      <c r="C304" s="41"/>
      <c r="D304" s="29"/>
      <c r="E304" s="10"/>
    </row>
    <row r="305" spans="1:5" x14ac:dyDescent="0.3">
      <c r="A305" s="10"/>
      <c r="B305" s="41"/>
      <c r="C305" s="41"/>
      <c r="D305" s="29"/>
      <c r="E305" s="10"/>
    </row>
    <row r="306" spans="1:5" x14ac:dyDescent="0.3">
      <c r="A306" s="10"/>
      <c r="B306" s="41"/>
      <c r="C306" s="41"/>
      <c r="D306" s="29"/>
      <c r="E306" s="10"/>
    </row>
    <row r="307" spans="1:5" x14ac:dyDescent="0.3">
      <c r="A307" s="10"/>
      <c r="B307" s="41"/>
      <c r="C307" s="41"/>
      <c r="D307" s="29"/>
      <c r="E307" s="10"/>
    </row>
    <row r="308" spans="1:5" x14ac:dyDescent="0.3">
      <c r="A308" s="10"/>
      <c r="B308" s="41"/>
      <c r="C308" s="41"/>
      <c r="D308" s="29"/>
      <c r="E308" s="10"/>
    </row>
    <row r="309" spans="1:5" x14ac:dyDescent="0.3">
      <c r="A309" s="10"/>
      <c r="B309" s="41"/>
      <c r="C309" s="41"/>
      <c r="D309" s="29"/>
      <c r="E309" s="10"/>
    </row>
    <row r="310" spans="1:5" x14ac:dyDescent="0.3">
      <c r="A310" s="10"/>
      <c r="B310" s="41"/>
      <c r="C310" s="41"/>
      <c r="D310" s="29"/>
      <c r="E310" s="10"/>
    </row>
    <row r="311" spans="1:5" x14ac:dyDescent="0.3">
      <c r="A311" s="10"/>
      <c r="B311" s="41"/>
      <c r="C311" s="41"/>
      <c r="D311" s="29"/>
      <c r="E311" s="10"/>
    </row>
    <row r="312" spans="1:5" x14ac:dyDescent="0.3">
      <c r="A312" s="10"/>
      <c r="B312" s="41"/>
      <c r="C312" s="41"/>
      <c r="D312" s="29"/>
      <c r="E312" s="10"/>
    </row>
    <row r="313" spans="1:5" x14ac:dyDescent="0.3">
      <c r="A313" s="10"/>
      <c r="B313" s="41"/>
      <c r="C313" s="41"/>
      <c r="D313" s="29"/>
      <c r="E313" s="10"/>
    </row>
    <row r="314" spans="1:5" x14ac:dyDescent="0.3">
      <c r="A314" s="10"/>
      <c r="B314" s="41"/>
      <c r="C314" s="41"/>
      <c r="D314" s="29"/>
      <c r="E314" s="10"/>
    </row>
    <row r="315" spans="1:5" x14ac:dyDescent="0.3">
      <c r="A315" s="10"/>
      <c r="B315" s="41"/>
      <c r="C315" s="41"/>
      <c r="D315" s="29"/>
      <c r="E315" s="10"/>
    </row>
    <row r="316" spans="1:5" x14ac:dyDescent="0.3">
      <c r="A316" s="10"/>
      <c r="B316" s="41"/>
      <c r="C316" s="41"/>
      <c r="D316" s="29"/>
      <c r="E316" s="10"/>
    </row>
    <row r="317" spans="1:5" x14ac:dyDescent="0.3">
      <c r="A317" s="10"/>
      <c r="B317" s="41"/>
      <c r="C317" s="41"/>
      <c r="D317" s="29"/>
      <c r="E317" s="10"/>
    </row>
    <row r="318" spans="1:5" x14ac:dyDescent="0.3">
      <c r="A318" s="10"/>
      <c r="B318" s="41"/>
      <c r="C318" s="41"/>
      <c r="D318" s="29"/>
      <c r="E318" s="10"/>
    </row>
    <row r="319" spans="1:5" x14ac:dyDescent="0.3">
      <c r="A319" s="10"/>
      <c r="B319" s="41"/>
      <c r="C319" s="41"/>
      <c r="D319" s="29"/>
      <c r="E319" s="10"/>
    </row>
    <row r="320" spans="1:5" x14ac:dyDescent="0.3">
      <c r="A320" s="10"/>
      <c r="B320" s="41"/>
      <c r="C320" s="41"/>
      <c r="D320" s="29"/>
      <c r="E320" s="10"/>
    </row>
    <row r="321" spans="1:5" x14ac:dyDescent="0.3">
      <c r="A321" s="10"/>
      <c r="B321" s="41"/>
      <c r="C321" s="41"/>
      <c r="D321" s="29"/>
      <c r="E321" s="10"/>
    </row>
    <row r="322" spans="1:5" x14ac:dyDescent="0.3">
      <c r="A322" s="10"/>
      <c r="B322" s="41"/>
      <c r="C322" s="41"/>
      <c r="D322" s="29"/>
      <c r="E322" s="10"/>
    </row>
    <row r="323" spans="1:5" x14ac:dyDescent="0.3">
      <c r="A323" s="10"/>
      <c r="B323" s="41"/>
      <c r="C323" s="41"/>
      <c r="D323" s="29"/>
      <c r="E323" s="10"/>
    </row>
    <row r="324" spans="1:5" x14ac:dyDescent="0.3">
      <c r="A324" s="10"/>
      <c r="B324" s="41"/>
      <c r="C324" s="41"/>
      <c r="D324" s="29"/>
      <c r="E324" s="10"/>
    </row>
    <row r="325" spans="1:5" x14ac:dyDescent="0.3">
      <c r="A325" s="10"/>
      <c r="B325" s="41"/>
      <c r="C325" s="41"/>
      <c r="D325" s="29"/>
      <c r="E325" s="10"/>
    </row>
    <row r="326" spans="1:5" x14ac:dyDescent="0.3">
      <c r="A326" s="10"/>
      <c r="B326" s="41"/>
      <c r="C326" s="41"/>
      <c r="D326" s="29"/>
      <c r="E326" s="10"/>
    </row>
    <row r="327" spans="1:5" x14ac:dyDescent="0.3">
      <c r="A327" s="10"/>
      <c r="B327" s="41"/>
      <c r="C327" s="41"/>
      <c r="D327" s="29"/>
      <c r="E327" s="10"/>
    </row>
    <row r="328" spans="1:5" x14ac:dyDescent="0.3">
      <c r="A328" s="10"/>
      <c r="B328" s="41"/>
      <c r="C328" s="41"/>
      <c r="D328" s="29"/>
      <c r="E328" s="10"/>
    </row>
    <row r="329" spans="1:5" x14ac:dyDescent="0.3">
      <c r="A329" s="10"/>
      <c r="B329" s="41"/>
      <c r="C329" s="41"/>
      <c r="D329" s="29"/>
      <c r="E329" s="10"/>
    </row>
    <row r="330" spans="1:5" x14ac:dyDescent="0.3">
      <c r="A330" s="10"/>
      <c r="B330" s="41"/>
      <c r="C330" s="41"/>
      <c r="D330" s="29"/>
      <c r="E330" s="10"/>
    </row>
    <row r="331" spans="1:5" x14ac:dyDescent="0.3">
      <c r="A331" s="10"/>
      <c r="B331" s="41"/>
      <c r="C331" s="41"/>
      <c r="D331" s="29"/>
      <c r="E331" s="10"/>
    </row>
    <row r="332" spans="1:5" x14ac:dyDescent="0.3">
      <c r="A332" s="10"/>
      <c r="B332" s="41"/>
      <c r="C332" s="41"/>
      <c r="D332" s="29"/>
      <c r="E332" s="10"/>
    </row>
    <row r="333" spans="1:5" x14ac:dyDescent="0.3">
      <c r="A333" s="10"/>
      <c r="B333" s="41"/>
      <c r="C333" s="41"/>
      <c r="D333" s="29"/>
      <c r="E333" s="10"/>
    </row>
    <row r="334" spans="1:5" x14ac:dyDescent="0.3">
      <c r="A334" s="10"/>
      <c r="B334" s="41"/>
      <c r="C334" s="41"/>
      <c r="D334" s="29"/>
      <c r="E334" s="10"/>
    </row>
    <row r="335" spans="1:5" x14ac:dyDescent="0.3">
      <c r="A335" s="10"/>
      <c r="B335" s="41"/>
      <c r="C335" s="41"/>
      <c r="D335" s="29"/>
      <c r="E335" s="10"/>
    </row>
    <row r="336" spans="1:5" x14ac:dyDescent="0.3">
      <c r="A336" s="10"/>
      <c r="B336" s="41"/>
      <c r="C336" s="41"/>
      <c r="D336" s="29"/>
      <c r="E336" s="10"/>
    </row>
    <row r="337" spans="1:5" x14ac:dyDescent="0.3">
      <c r="A337" s="10"/>
      <c r="B337" s="41"/>
      <c r="C337" s="41"/>
      <c r="D337" s="29"/>
      <c r="E337" s="10"/>
    </row>
    <row r="338" spans="1:5" x14ac:dyDescent="0.3">
      <c r="A338" s="10"/>
      <c r="B338" s="41"/>
      <c r="C338" s="41"/>
      <c r="D338" s="29"/>
      <c r="E338" s="10"/>
    </row>
    <row r="339" spans="1:5" x14ac:dyDescent="0.3">
      <c r="A339" s="10"/>
      <c r="B339" s="41"/>
      <c r="C339" s="41"/>
      <c r="D339" s="29"/>
      <c r="E339" s="10"/>
    </row>
    <row r="340" spans="1:5" x14ac:dyDescent="0.3">
      <c r="A340" s="10"/>
      <c r="B340" s="41"/>
      <c r="C340" s="41"/>
      <c r="D340" s="29"/>
      <c r="E340" s="10"/>
    </row>
    <row r="341" spans="1:5" x14ac:dyDescent="0.3">
      <c r="A341" s="10"/>
      <c r="B341" s="41"/>
      <c r="C341" s="41"/>
      <c r="D341" s="29"/>
      <c r="E341" s="10"/>
    </row>
    <row r="342" spans="1:5" x14ac:dyDescent="0.3">
      <c r="A342" s="10"/>
      <c r="B342" s="41"/>
      <c r="C342" s="41"/>
      <c r="D342" s="29"/>
      <c r="E342" s="10"/>
    </row>
    <row r="343" spans="1:5" x14ac:dyDescent="0.3">
      <c r="A343" s="10"/>
      <c r="B343" s="41"/>
      <c r="C343" s="41"/>
      <c r="D343" s="29"/>
      <c r="E343" s="10"/>
    </row>
    <row r="344" spans="1:5" x14ac:dyDescent="0.3">
      <c r="A344" s="10"/>
      <c r="B344" s="41"/>
      <c r="C344" s="41"/>
      <c r="D344" s="29"/>
      <c r="E344" s="10"/>
    </row>
    <row r="345" spans="1:5" x14ac:dyDescent="0.3">
      <c r="A345" s="10"/>
      <c r="B345" s="41"/>
      <c r="C345" s="41"/>
      <c r="D345" s="29"/>
      <c r="E345" s="10"/>
    </row>
    <row r="346" spans="1:5" x14ac:dyDescent="0.3">
      <c r="A346" s="10"/>
      <c r="B346" s="41"/>
      <c r="C346" s="41"/>
      <c r="D346" s="29"/>
      <c r="E346" s="10"/>
    </row>
    <row r="347" spans="1:5" x14ac:dyDescent="0.3">
      <c r="A347" s="10"/>
      <c r="B347" s="41"/>
      <c r="C347" s="41"/>
      <c r="D347" s="29"/>
      <c r="E347" s="10"/>
    </row>
    <row r="348" spans="1:5" x14ac:dyDescent="0.3">
      <c r="A348" s="10"/>
      <c r="B348" s="41"/>
      <c r="C348" s="41"/>
      <c r="D348" s="29"/>
      <c r="E348" s="10"/>
    </row>
    <row r="349" spans="1:5" x14ac:dyDescent="0.3">
      <c r="A349" s="10"/>
      <c r="B349" s="41"/>
      <c r="C349" s="41"/>
      <c r="D349" s="29"/>
      <c r="E349" s="10"/>
    </row>
    <row r="350" spans="1:5" x14ac:dyDescent="0.3">
      <c r="A350" s="10"/>
      <c r="B350" s="41"/>
      <c r="C350" s="41"/>
      <c r="D350" s="29"/>
      <c r="E350" s="10"/>
    </row>
    <row r="351" spans="1:5" x14ac:dyDescent="0.3">
      <c r="A351" s="10"/>
      <c r="B351" s="41"/>
      <c r="C351" s="41"/>
      <c r="D351" s="29"/>
      <c r="E351" s="10"/>
    </row>
    <row r="352" spans="1:5" x14ac:dyDescent="0.3">
      <c r="A352" s="10"/>
      <c r="B352" s="41"/>
      <c r="C352" s="41"/>
      <c r="D352" s="29"/>
      <c r="E352" s="10"/>
    </row>
    <row r="353" spans="1:5" x14ac:dyDescent="0.3">
      <c r="A353" s="10"/>
      <c r="B353" s="41"/>
      <c r="C353" s="41"/>
      <c r="D353" s="29"/>
      <c r="E353" s="10"/>
    </row>
    <row r="354" spans="1:5" x14ac:dyDescent="0.3">
      <c r="A354" s="10"/>
      <c r="B354" s="41"/>
      <c r="C354" s="41"/>
      <c r="D354" s="29"/>
      <c r="E354" s="10"/>
    </row>
    <row r="355" spans="1:5" x14ac:dyDescent="0.3">
      <c r="A355" s="10"/>
      <c r="B355" s="41"/>
      <c r="C355" s="41"/>
      <c r="D355" s="29"/>
      <c r="E355" s="10"/>
    </row>
    <row r="356" spans="1:5" x14ac:dyDescent="0.3">
      <c r="A356" s="10"/>
      <c r="B356" s="41"/>
      <c r="C356" s="41"/>
      <c r="D356" s="29"/>
      <c r="E356" s="10"/>
    </row>
    <row r="357" spans="1:5" x14ac:dyDescent="0.3">
      <c r="A357" s="10"/>
      <c r="B357" s="41"/>
      <c r="C357" s="41"/>
      <c r="D357" s="29"/>
      <c r="E357" s="10"/>
    </row>
    <row r="358" spans="1:5" x14ac:dyDescent="0.3">
      <c r="A358" s="10"/>
      <c r="B358" s="41"/>
      <c r="C358" s="41"/>
      <c r="D358" s="29"/>
      <c r="E358" s="10"/>
    </row>
    <row r="359" spans="1:5" x14ac:dyDescent="0.3">
      <c r="A359" s="10"/>
      <c r="B359" s="41"/>
      <c r="C359" s="41"/>
      <c r="D359" s="29"/>
      <c r="E359" s="10"/>
    </row>
    <row r="360" spans="1:5" x14ac:dyDescent="0.3">
      <c r="A360" s="10"/>
      <c r="B360" s="41"/>
      <c r="C360" s="41"/>
      <c r="D360" s="29"/>
      <c r="E360" s="10"/>
    </row>
    <row r="361" spans="1:5" x14ac:dyDescent="0.3">
      <c r="A361" s="10"/>
      <c r="B361" s="41"/>
      <c r="C361" s="41"/>
      <c r="D361" s="29"/>
      <c r="E361" s="10"/>
    </row>
    <row r="362" spans="1:5" x14ac:dyDescent="0.3">
      <c r="A362" s="10"/>
      <c r="B362" s="41"/>
      <c r="C362" s="41"/>
      <c r="D362" s="29"/>
      <c r="E362" s="10"/>
    </row>
    <row r="363" spans="1:5" x14ac:dyDescent="0.3">
      <c r="A363" s="10"/>
      <c r="B363" s="41"/>
      <c r="C363" s="41"/>
      <c r="D363" s="29"/>
      <c r="E363" s="10"/>
    </row>
    <row r="364" spans="1:5" x14ac:dyDescent="0.3">
      <c r="A364" s="10"/>
      <c r="B364" s="41"/>
      <c r="C364" s="41"/>
      <c r="D364" s="29"/>
      <c r="E364" s="10"/>
    </row>
    <row r="365" spans="1:5" x14ac:dyDescent="0.3">
      <c r="A365" s="10"/>
      <c r="B365" s="41"/>
      <c r="C365" s="41"/>
      <c r="D365" s="29"/>
      <c r="E365" s="10"/>
    </row>
    <row r="366" spans="1:5" x14ac:dyDescent="0.3">
      <c r="A366" s="10"/>
      <c r="B366" s="41"/>
      <c r="C366" s="41"/>
      <c r="D366" s="29"/>
      <c r="E366" s="10"/>
    </row>
    <row r="367" spans="1:5" x14ac:dyDescent="0.3">
      <c r="A367" s="10"/>
      <c r="B367" s="41"/>
      <c r="C367" s="41"/>
      <c r="D367" s="29"/>
      <c r="E367" s="10"/>
    </row>
    <row r="368" spans="1:5" x14ac:dyDescent="0.3">
      <c r="A368" s="10"/>
      <c r="B368" s="41"/>
      <c r="C368" s="41"/>
      <c r="D368" s="29"/>
      <c r="E368" s="10"/>
    </row>
    <row r="369" spans="1:5" x14ac:dyDescent="0.3">
      <c r="A369" s="10"/>
      <c r="B369" s="41"/>
      <c r="C369" s="41"/>
      <c r="D369" s="29"/>
      <c r="E369" s="10"/>
    </row>
    <row r="370" spans="1:5" x14ac:dyDescent="0.3">
      <c r="A370" s="10"/>
      <c r="B370" s="41"/>
      <c r="C370" s="41"/>
      <c r="D370" s="29"/>
      <c r="E370" s="10"/>
    </row>
    <row r="371" spans="1:5" x14ac:dyDescent="0.3">
      <c r="A371" s="10"/>
      <c r="B371" s="41"/>
      <c r="C371" s="41"/>
      <c r="D371" s="29"/>
      <c r="E371" s="10"/>
    </row>
    <row r="372" spans="1:5" x14ac:dyDescent="0.3">
      <c r="A372" s="10"/>
      <c r="B372" s="41"/>
      <c r="C372" s="41"/>
      <c r="D372" s="29"/>
      <c r="E372" s="10"/>
    </row>
    <row r="373" spans="1:5" x14ac:dyDescent="0.3">
      <c r="A373" s="10"/>
      <c r="B373" s="41"/>
      <c r="C373" s="41"/>
      <c r="D373" s="29"/>
      <c r="E373" s="10"/>
    </row>
    <row r="374" spans="1:5" x14ac:dyDescent="0.3">
      <c r="A374" s="10"/>
      <c r="B374" s="41"/>
      <c r="C374" s="41"/>
      <c r="D374" s="29"/>
      <c r="E374" s="10"/>
    </row>
    <row r="375" spans="1:5" x14ac:dyDescent="0.3">
      <c r="A375" s="10"/>
      <c r="B375" s="41"/>
      <c r="C375" s="41"/>
      <c r="D375" s="29"/>
      <c r="E375" s="10"/>
    </row>
    <row r="376" spans="1:5" x14ac:dyDescent="0.3">
      <c r="A376" s="10"/>
      <c r="B376" s="41"/>
      <c r="C376" s="41"/>
      <c r="D376" s="29"/>
      <c r="E376" s="10"/>
    </row>
    <row r="377" spans="1:5" x14ac:dyDescent="0.3">
      <c r="A377" s="10"/>
      <c r="B377" s="41"/>
      <c r="C377" s="41"/>
      <c r="D377" s="29"/>
      <c r="E377" s="10"/>
    </row>
    <row r="378" spans="1:5" x14ac:dyDescent="0.3">
      <c r="A378" s="10"/>
      <c r="B378" s="41"/>
      <c r="C378" s="41"/>
      <c r="D378" s="29"/>
      <c r="E378" s="10"/>
    </row>
    <row r="379" spans="1:5" x14ac:dyDescent="0.3">
      <c r="A379" s="10"/>
      <c r="B379" s="41"/>
      <c r="C379" s="41"/>
      <c r="D379" s="29"/>
      <c r="E379" s="10"/>
    </row>
    <row r="380" spans="1:5" x14ac:dyDescent="0.3">
      <c r="A380" s="10"/>
      <c r="B380" s="41"/>
      <c r="C380" s="41"/>
      <c r="D380" s="29"/>
      <c r="E380" s="10"/>
    </row>
    <row r="381" spans="1:5" x14ac:dyDescent="0.3">
      <c r="A381" s="10"/>
      <c r="B381" s="41"/>
      <c r="C381" s="41"/>
      <c r="D381" s="29"/>
      <c r="E381" s="10"/>
    </row>
    <row r="382" spans="1:5" x14ac:dyDescent="0.3">
      <c r="A382" s="10"/>
      <c r="B382" s="41"/>
      <c r="C382" s="41"/>
      <c r="D382" s="29"/>
      <c r="E382" s="10"/>
    </row>
    <row r="383" spans="1:5" x14ac:dyDescent="0.3">
      <c r="A383" s="10"/>
      <c r="B383" s="41"/>
      <c r="C383" s="41"/>
      <c r="D383" s="29"/>
      <c r="E383" s="10"/>
    </row>
    <row r="384" spans="1:5" x14ac:dyDescent="0.3">
      <c r="A384" s="10"/>
      <c r="B384" s="41"/>
      <c r="C384" s="41"/>
      <c r="D384" s="29"/>
      <c r="E384" s="10"/>
    </row>
    <row r="385" spans="1:5" x14ac:dyDescent="0.3">
      <c r="A385" s="10"/>
      <c r="B385" s="41"/>
      <c r="C385" s="41"/>
      <c r="D385" s="29"/>
      <c r="E385" s="10"/>
    </row>
    <row r="386" spans="1:5" x14ac:dyDescent="0.3">
      <c r="A386" s="10"/>
      <c r="B386" s="41"/>
      <c r="C386" s="41"/>
      <c r="D386" s="29"/>
      <c r="E386" s="10"/>
    </row>
    <row r="387" spans="1:5" x14ac:dyDescent="0.3">
      <c r="A387" s="10"/>
      <c r="B387" s="41"/>
      <c r="C387" s="41"/>
      <c r="D387" s="29"/>
      <c r="E387" s="10"/>
    </row>
    <row r="388" spans="1:5" x14ac:dyDescent="0.3">
      <c r="A388" s="10"/>
      <c r="B388" s="41"/>
      <c r="C388" s="41"/>
      <c r="D388" s="29"/>
      <c r="E388" s="10"/>
    </row>
    <row r="389" spans="1:5" x14ac:dyDescent="0.3">
      <c r="A389" s="10"/>
      <c r="B389" s="41"/>
      <c r="C389" s="41"/>
      <c r="D389" s="29"/>
      <c r="E389" s="10"/>
    </row>
    <row r="390" spans="1:5" x14ac:dyDescent="0.3">
      <c r="A390" s="10"/>
      <c r="B390" s="41"/>
      <c r="C390" s="41"/>
      <c r="D390" s="29"/>
      <c r="E390" s="10"/>
    </row>
    <row r="391" spans="1:5" x14ac:dyDescent="0.3">
      <c r="A391" s="10"/>
      <c r="B391" s="41"/>
      <c r="C391" s="41"/>
      <c r="D391" s="29"/>
      <c r="E391" s="10"/>
    </row>
    <row r="392" spans="1:5" x14ac:dyDescent="0.3">
      <c r="A392" s="10"/>
      <c r="B392" s="41"/>
      <c r="C392" s="41"/>
      <c r="D392" s="29"/>
      <c r="E392" s="10"/>
    </row>
    <row r="393" spans="1:5" x14ac:dyDescent="0.3">
      <c r="A393" s="10"/>
      <c r="B393" s="41"/>
      <c r="C393" s="41"/>
      <c r="D393" s="29"/>
      <c r="E393" s="10"/>
    </row>
    <row r="394" spans="1:5" x14ac:dyDescent="0.3">
      <c r="A394" s="10"/>
      <c r="B394" s="41"/>
      <c r="C394" s="41"/>
      <c r="D394" s="29"/>
      <c r="E394" s="10"/>
    </row>
    <row r="395" spans="1:5" x14ac:dyDescent="0.3">
      <c r="A395" s="10"/>
      <c r="B395" s="41"/>
      <c r="C395" s="41"/>
      <c r="D395" s="29"/>
      <c r="E395" s="10"/>
    </row>
    <row r="396" spans="1:5" x14ac:dyDescent="0.3">
      <c r="A396" s="10"/>
      <c r="B396" s="41"/>
      <c r="C396" s="41"/>
      <c r="D396" s="29"/>
      <c r="E396" s="10"/>
    </row>
    <row r="397" spans="1:5" x14ac:dyDescent="0.3">
      <c r="A397" s="10"/>
      <c r="B397" s="41"/>
      <c r="C397" s="41"/>
      <c r="D397" s="29"/>
      <c r="E397" s="10"/>
    </row>
    <row r="398" spans="1:5" x14ac:dyDescent="0.3">
      <c r="A398" s="10"/>
      <c r="B398" s="41"/>
      <c r="C398" s="41"/>
      <c r="D398" s="29"/>
      <c r="E398" s="10"/>
    </row>
    <row r="399" spans="1:5" x14ac:dyDescent="0.3">
      <c r="A399" s="10"/>
      <c r="B399" s="41"/>
      <c r="C399" s="41"/>
      <c r="D399" s="29"/>
      <c r="E399" s="10"/>
    </row>
    <row r="400" spans="1:5" x14ac:dyDescent="0.3">
      <c r="A400" s="10"/>
      <c r="B400" s="41"/>
      <c r="C400" s="41"/>
      <c r="D400" s="29"/>
      <c r="E400" s="10"/>
    </row>
    <row r="401" spans="1:5" x14ac:dyDescent="0.3">
      <c r="A401" s="10"/>
      <c r="B401" s="41"/>
      <c r="C401" s="41"/>
      <c r="D401" s="29"/>
      <c r="E401" s="10"/>
    </row>
    <row r="402" spans="1:5" x14ac:dyDescent="0.3">
      <c r="A402" s="10"/>
      <c r="B402" s="41"/>
      <c r="C402" s="41"/>
      <c r="D402" s="29"/>
      <c r="E402" s="10"/>
    </row>
    <row r="403" spans="1:5" x14ac:dyDescent="0.3">
      <c r="A403" s="10"/>
      <c r="B403" s="41"/>
      <c r="C403" s="41"/>
      <c r="D403" s="29"/>
      <c r="E403" s="10"/>
    </row>
    <row r="404" spans="1:5" x14ac:dyDescent="0.3">
      <c r="A404" s="10"/>
      <c r="B404" s="41"/>
      <c r="C404" s="41"/>
      <c r="D404" s="29"/>
      <c r="E404" s="10"/>
    </row>
    <row r="405" spans="1:5" x14ac:dyDescent="0.3">
      <c r="A405" s="10"/>
      <c r="B405" s="41"/>
      <c r="C405" s="41"/>
      <c r="D405" s="29"/>
      <c r="E405" s="10"/>
    </row>
    <row r="406" spans="1:5" x14ac:dyDescent="0.3">
      <c r="A406" s="10"/>
      <c r="B406" s="41"/>
      <c r="C406" s="41"/>
      <c r="D406" s="29"/>
      <c r="E406" s="10"/>
    </row>
    <row r="407" spans="1:5" x14ac:dyDescent="0.3">
      <c r="A407" s="10"/>
      <c r="B407" s="41"/>
      <c r="C407" s="41"/>
      <c r="D407" s="29"/>
      <c r="E407" s="10"/>
    </row>
    <row r="408" spans="1:5" x14ac:dyDescent="0.3">
      <c r="A408" s="10"/>
      <c r="B408" s="41"/>
      <c r="C408" s="41"/>
      <c r="D408" s="29"/>
      <c r="E408" s="10"/>
    </row>
    <row r="409" spans="1:5" x14ac:dyDescent="0.3">
      <c r="A409" s="10"/>
      <c r="B409" s="41"/>
      <c r="C409" s="41"/>
      <c r="D409" s="29"/>
      <c r="E409" s="10"/>
    </row>
    <row r="410" spans="1:5" x14ac:dyDescent="0.3">
      <c r="A410" s="10"/>
      <c r="B410" s="41"/>
      <c r="C410" s="41"/>
      <c r="D410" s="29"/>
      <c r="E410" s="10"/>
    </row>
    <row r="411" spans="1:5" x14ac:dyDescent="0.3">
      <c r="A411" s="10"/>
      <c r="B411" s="41"/>
      <c r="C411" s="41"/>
      <c r="D411" s="29"/>
      <c r="E411" s="10"/>
    </row>
    <row r="412" spans="1:5" x14ac:dyDescent="0.3">
      <c r="A412" s="10"/>
      <c r="B412" s="41"/>
      <c r="C412" s="41"/>
      <c r="D412" s="29"/>
      <c r="E412" s="10"/>
    </row>
    <row r="413" spans="1:5" x14ac:dyDescent="0.3">
      <c r="A413" s="10"/>
      <c r="B413" s="41"/>
      <c r="C413" s="41"/>
      <c r="D413" s="29"/>
      <c r="E413" s="10"/>
    </row>
    <row r="414" spans="1:5" x14ac:dyDescent="0.3">
      <c r="A414" s="10"/>
      <c r="B414" s="41"/>
      <c r="C414" s="41"/>
      <c r="D414" s="29"/>
      <c r="E414" s="10"/>
    </row>
    <row r="415" spans="1:5" x14ac:dyDescent="0.3">
      <c r="A415" s="10"/>
      <c r="B415" s="41"/>
      <c r="C415" s="41"/>
      <c r="D415" s="29"/>
      <c r="E415" s="10"/>
    </row>
    <row r="416" spans="1:5" x14ac:dyDescent="0.3">
      <c r="A416" s="10"/>
      <c r="B416" s="41"/>
      <c r="C416" s="41"/>
      <c r="D416" s="29"/>
      <c r="E416" s="10"/>
    </row>
    <row r="417" spans="1:5" x14ac:dyDescent="0.3">
      <c r="A417" s="10"/>
      <c r="B417" s="41"/>
      <c r="C417" s="41"/>
      <c r="D417" s="29"/>
      <c r="E417" s="10"/>
    </row>
    <row r="418" spans="1:5" x14ac:dyDescent="0.3">
      <c r="A418" s="10"/>
      <c r="B418" s="41"/>
      <c r="C418" s="41"/>
      <c r="D418" s="29"/>
      <c r="E418" s="10"/>
    </row>
    <row r="419" spans="1:5" x14ac:dyDescent="0.3">
      <c r="A419" s="10"/>
      <c r="B419" s="41"/>
      <c r="C419" s="41"/>
      <c r="D419" s="29"/>
      <c r="E419" s="10"/>
    </row>
    <row r="420" spans="1:5" x14ac:dyDescent="0.3">
      <c r="A420" s="10"/>
      <c r="B420" s="41"/>
      <c r="C420" s="41"/>
      <c r="D420" s="29"/>
      <c r="E420" s="10"/>
    </row>
    <row r="421" spans="1:5" x14ac:dyDescent="0.3">
      <c r="A421" s="10"/>
      <c r="B421" s="41"/>
      <c r="C421" s="41"/>
      <c r="D421" s="29"/>
      <c r="E421" s="10"/>
    </row>
    <row r="422" spans="1:5" x14ac:dyDescent="0.3">
      <c r="A422" s="10"/>
      <c r="B422" s="41"/>
      <c r="C422" s="41"/>
      <c r="D422" s="29"/>
      <c r="E422" s="10"/>
    </row>
    <row r="423" spans="1:5" x14ac:dyDescent="0.3">
      <c r="A423" s="10"/>
      <c r="B423" s="41"/>
      <c r="C423" s="41"/>
      <c r="D423" s="29"/>
      <c r="E423" s="10"/>
    </row>
    <row r="424" spans="1:5" x14ac:dyDescent="0.3">
      <c r="A424" s="10"/>
      <c r="B424" s="41"/>
      <c r="C424" s="41"/>
      <c r="D424" s="29"/>
      <c r="E424" s="10"/>
    </row>
    <row r="425" spans="1:5" x14ac:dyDescent="0.3">
      <c r="A425" s="10"/>
      <c r="B425" s="41"/>
      <c r="C425" s="41"/>
      <c r="D425" s="29"/>
      <c r="E425" s="10"/>
    </row>
    <row r="426" spans="1:5" x14ac:dyDescent="0.3">
      <c r="A426" s="10"/>
      <c r="B426" s="41"/>
      <c r="C426" s="41"/>
      <c r="D426" s="29"/>
      <c r="E426" s="10"/>
    </row>
    <row r="427" spans="1:5" x14ac:dyDescent="0.3">
      <c r="A427" s="10"/>
      <c r="B427" s="41"/>
      <c r="C427" s="41"/>
      <c r="D427" s="29"/>
      <c r="E427" s="10"/>
    </row>
    <row r="428" spans="1:5" x14ac:dyDescent="0.3">
      <c r="A428" s="10"/>
      <c r="B428" s="41"/>
      <c r="C428" s="41"/>
      <c r="D428" s="29"/>
      <c r="E428" s="10"/>
    </row>
    <row r="429" spans="1:5" x14ac:dyDescent="0.3">
      <c r="A429" s="10"/>
      <c r="B429" s="41"/>
      <c r="C429" s="41"/>
      <c r="D429" s="29"/>
      <c r="E429" s="10"/>
    </row>
    <row r="430" spans="1:5" x14ac:dyDescent="0.3">
      <c r="A430" s="10"/>
      <c r="B430" s="41"/>
      <c r="C430" s="41"/>
      <c r="D430" s="29"/>
      <c r="E430" s="10"/>
    </row>
    <row r="431" spans="1:5" x14ac:dyDescent="0.3">
      <c r="A431" s="10"/>
      <c r="B431" s="41"/>
      <c r="C431" s="41"/>
      <c r="D431" s="29"/>
      <c r="E431" s="10"/>
    </row>
    <row r="432" spans="1:5" x14ac:dyDescent="0.3">
      <c r="A432" s="10"/>
      <c r="B432" s="41"/>
      <c r="C432" s="41"/>
      <c r="D432" s="29"/>
      <c r="E432" s="10"/>
    </row>
    <row r="433" spans="1:5" x14ac:dyDescent="0.3">
      <c r="A433" s="10"/>
      <c r="B433" s="41"/>
      <c r="C433" s="41"/>
      <c r="D433" s="29"/>
      <c r="E433" s="10"/>
    </row>
    <row r="434" spans="1:5" x14ac:dyDescent="0.3">
      <c r="A434" s="10"/>
      <c r="B434" s="41"/>
      <c r="C434" s="41"/>
      <c r="D434" s="29"/>
      <c r="E434" s="10"/>
    </row>
    <row r="435" spans="1:5" x14ac:dyDescent="0.3">
      <c r="A435" s="10"/>
      <c r="B435" s="41"/>
      <c r="C435" s="41"/>
      <c r="D435" s="29"/>
      <c r="E435" s="10"/>
    </row>
    <row r="436" spans="1:5" x14ac:dyDescent="0.3">
      <c r="A436" s="10"/>
      <c r="B436" s="41"/>
      <c r="C436" s="41"/>
      <c r="D436" s="29"/>
      <c r="E436" s="10"/>
    </row>
    <row r="437" spans="1:5" x14ac:dyDescent="0.3">
      <c r="A437" s="10"/>
      <c r="B437" s="41"/>
      <c r="C437" s="41"/>
      <c r="D437" s="29"/>
      <c r="E437" s="10"/>
    </row>
    <row r="438" spans="1:5" x14ac:dyDescent="0.3">
      <c r="A438" s="10"/>
      <c r="B438" s="41"/>
      <c r="C438" s="41"/>
      <c r="D438" s="29"/>
      <c r="E438" s="10"/>
    </row>
    <row r="439" spans="1:5" x14ac:dyDescent="0.3">
      <c r="A439" s="10"/>
      <c r="B439" s="41"/>
      <c r="C439" s="41"/>
      <c r="D439" s="29"/>
      <c r="E439" s="10"/>
    </row>
    <row r="440" spans="1:5" x14ac:dyDescent="0.3">
      <c r="A440" s="10"/>
      <c r="B440" s="41"/>
      <c r="C440" s="41"/>
      <c r="D440" s="29"/>
      <c r="E440" s="10"/>
    </row>
    <row r="441" spans="1:5" x14ac:dyDescent="0.3">
      <c r="A441" s="10"/>
      <c r="B441" s="41"/>
      <c r="C441" s="41"/>
      <c r="D441" s="29"/>
      <c r="E441" s="10"/>
    </row>
    <row r="442" spans="1:5" x14ac:dyDescent="0.3">
      <c r="A442" s="10"/>
      <c r="B442" s="41"/>
      <c r="C442" s="41"/>
      <c r="D442" s="29"/>
      <c r="E442" s="10"/>
    </row>
    <row r="443" spans="1:5" x14ac:dyDescent="0.3">
      <c r="A443" s="10"/>
      <c r="B443" s="41"/>
      <c r="C443" s="41"/>
      <c r="D443" s="29"/>
      <c r="E443" s="10"/>
    </row>
    <row r="444" spans="1:5" x14ac:dyDescent="0.3">
      <c r="A444" s="10"/>
      <c r="B444" s="41"/>
      <c r="C444" s="41"/>
      <c r="D444" s="29"/>
      <c r="E444" s="10"/>
    </row>
    <row r="445" spans="1:5" x14ac:dyDescent="0.3">
      <c r="A445" s="10"/>
      <c r="B445" s="41"/>
      <c r="C445" s="41"/>
      <c r="D445" s="29"/>
      <c r="E445" s="10"/>
    </row>
    <row r="446" spans="1:5" x14ac:dyDescent="0.3">
      <c r="A446" s="10"/>
      <c r="B446" s="41"/>
      <c r="C446" s="41"/>
      <c r="D446" s="29"/>
      <c r="E446" s="10"/>
    </row>
    <row r="447" spans="1:5" x14ac:dyDescent="0.3">
      <c r="A447" s="10"/>
      <c r="B447" s="41"/>
      <c r="C447" s="41"/>
      <c r="D447" s="29">
        <f t="shared" ref="D447:D496" si="3">C447-B447</f>
        <v>0</v>
      </c>
      <c r="E447" s="10"/>
    </row>
    <row r="448" spans="1:5" x14ac:dyDescent="0.3">
      <c r="A448" s="10"/>
      <c r="B448" s="41"/>
      <c r="C448" s="41"/>
      <c r="D448" s="29">
        <f t="shared" si="3"/>
        <v>0</v>
      </c>
      <c r="E448" s="10"/>
    </row>
    <row r="449" spans="1:5" x14ac:dyDescent="0.3">
      <c r="A449" s="10"/>
      <c r="B449" s="41"/>
      <c r="C449" s="41"/>
      <c r="D449" s="29">
        <f t="shared" si="3"/>
        <v>0</v>
      </c>
      <c r="E449" s="10"/>
    </row>
    <row r="450" spans="1:5" x14ac:dyDescent="0.3">
      <c r="A450" s="10"/>
      <c r="B450" s="41"/>
      <c r="C450" s="41"/>
      <c r="D450" s="29">
        <f t="shared" si="3"/>
        <v>0</v>
      </c>
      <c r="E450" s="10"/>
    </row>
    <row r="451" spans="1:5" x14ac:dyDescent="0.3">
      <c r="A451" s="10"/>
      <c r="B451" s="41"/>
      <c r="C451" s="41"/>
      <c r="D451" s="29">
        <f t="shared" si="3"/>
        <v>0</v>
      </c>
      <c r="E451" s="10"/>
    </row>
    <row r="452" spans="1:5" x14ac:dyDescent="0.3">
      <c r="A452" s="10"/>
      <c r="B452" s="41"/>
      <c r="C452" s="41"/>
      <c r="D452" s="29">
        <f t="shared" si="3"/>
        <v>0</v>
      </c>
      <c r="E452" s="10"/>
    </row>
    <row r="453" spans="1:5" x14ac:dyDescent="0.3">
      <c r="A453" s="10"/>
      <c r="B453" s="41"/>
      <c r="C453" s="41"/>
      <c r="D453" s="29">
        <f t="shared" si="3"/>
        <v>0</v>
      </c>
      <c r="E453" s="10"/>
    </row>
    <row r="454" spans="1:5" x14ac:dyDescent="0.3">
      <c r="A454" s="10"/>
      <c r="B454" s="41"/>
      <c r="C454" s="41"/>
      <c r="D454" s="29">
        <f t="shared" si="3"/>
        <v>0</v>
      </c>
      <c r="E454" s="10"/>
    </row>
    <row r="455" spans="1:5" x14ac:dyDescent="0.3">
      <c r="A455" s="10"/>
      <c r="B455" s="41"/>
      <c r="C455" s="41"/>
      <c r="D455" s="29">
        <f t="shared" si="3"/>
        <v>0</v>
      </c>
      <c r="E455" s="10"/>
    </row>
    <row r="456" spans="1:5" x14ac:dyDescent="0.3">
      <c r="A456" s="10"/>
      <c r="B456" s="41"/>
      <c r="C456" s="41"/>
      <c r="D456" s="29">
        <f t="shared" si="3"/>
        <v>0</v>
      </c>
      <c r="E456" s="10"/>
    </row>
    <row r="457" spans="1:5" x14ac:dyDescent="0.3">
      <c r="A457" s="10"/>
      <c r="B457" s="41"/>
      <c r="C457" s="41"/>
      <c r="D457" s="29">
        <f t="shared" si="3"/>
        <v>0</v>
      </c>
      <c r="E457" s="10"/>
    </row>
    <row r="458" spans="1:5" x14ac:dyDescent="0.3">
      <c r="A458" s="10"/>
      <c r="B458" s="41"/>
      <c r="C458" s="41"/>
      <c r="D458" s="29">
        <f t="shared" si="3"/>
        <v>0</v>
      </c>
      <c r="E458" s="10"/>
    </row>
    <row r="459" spans="1:5" x14ac:dyDescent="0.3">
      <c r="A459" s="10"/>
      <c r="B459" s="41"/>
      <c r="C459" s="41"/>
      <c r="D459" s="29">
        <f t="shared" si="3"/>
        <v>0</v>
      </c>
      <c r="E459" s="10"/>
    </row>
    <row r="460" spans="1:5" x14ac:dyDescent="0.3">
      <c r="A460" s="10"/>
      <c r="B460" s="41"/>
      <c r="C460" s="41"/>
      <c r="D460" s="29">
        <f t="shared" si="3"/>
        <v>0</v>
      </c>
      <c r="E460" s="10"/>
    </row>
    <row r="461" spans="1:5" x14ac:dyDescent="0.3">
      <c r="A461" s="10"/>
      <c r="B461" s="41"/>
      <c r="C461" s="41"/>
      <c r="D461" s="29">
        <f t="shared" si="3"/>
        <v>0</v>
      </c>
      <c r="E461" s="10"/>
    </row>
    <row r="462" spans="1:5" x14ac:dyDescent="0.3">
      <c r="A462" s="10"/>
      <c r="B462" s="41"/>
      <c r="C462" s="41"/>
      <c r="D462" s="29">
        <f t="shared" si="3"/>
        <v>0</v>
      </c>
      <c r="E462" s="10"/>
    </row>
    <row r="463" spans="1:5" x14ac:dyDescent="0.3">
      <c r="A463" s="10"/>
      <c r="B463" s="41"/>
      <c r="C463" s="41"/>
      <c r="D463" s="29">
        <f t="shared" si="3"/>
        <v>0</v>
      </c>
      <c r="E463" s="10"/>
    </row>
    <row r="464" spans="1:5" x14ac:dyDescent="0.3">
      <c r="A464" s="10"/>
      <c r="B464" s="41"/>
      <c r="C464" s="41"/>
      <c r="D464" s="29">
        <f t="shared" si="3"/>
        <v>0</v>
      </c>
      <c r="E464" s="10"/>
    </row>
    <row r="465" spans="1:5" x14ac:dyDescent="0.3">
      <c r="A465" s="10"/>
      <c r="B465" s="41"/>
      <c r="C465" s="41"/>
      <c r="D465" s="29">
        <f t="shared" si="3"/>
        <v>0</v>
      </c>
      <c r="E465" s="10"/>
    </row>
    <row r="466" spans="1:5" x14ac:dyDescent="0.3">
      <c r="A466" s="10"/>
      <c r="B466" s="41"/>
      <c r="C466" s="41"/>
      <c r="D466" s="29">
        <f t="shared" si="3"/>
        <v>0</v>
      </c>
      <c r="E466" s="10"/>
    </row>
    <row r="467" spans="1:5" x14ac:dyDescent="0.3">
      <c r="A467" s="10"/>
      <c r="B467" s="41"/>
      <c r="C467" s="41"/>
      <c r="D467" s="29">
        <f t="shared" si="3"/>
        <v>0</v>
      </c>
      <c r="E467" s="10"/>
    </row>
    <row r="468" spans="1:5" x14ac:dyDescent="0.3">
      <c r="A468" s="10"/>
      <c r="B468" s="41"/>
      <c r="C468" s="41"/>
      <c r="D468" s="29">
        <f t="shared" si="3"/>
        <v>0</v>
      </c>
      <c r="E468" s="10"/>
    </row>
    <row r="469" spans="1:5" x14ac:dyDescent="0.3">
      <c r="A469" s="10"/>
      <c r="B469" s="41"/>
      <c r="C469" s="41"/>
      <c r="D469" s="29">
        <f t="shared" si="3"/>
        <v>0</v>
      </c>
      <c r="E469" s="10"/>
    </row>
    <row r="470" spans="1:5" x14ac:dyDescent="0.3">
      <c r="A470" s="10"/>
      <c r="B470" s="41"/>
      <c r="C470" s="41"/>
      <c r="D470" s="29">
        <f t="shared" si="3"/>
        <v>0</v>
      </c>
      <c r="E470" s="10"/>
    </row>
    <row r="471" spans="1:5" x14ac:dyDescent="0.3">
      <c r="A471" s="10"/>
      <c r="B471" s="41"/>
      <c r="C471" s="41"/>
      <c r="D471" s="29">
        <f t="shared" si="3"/>
        <v>0</v>
      </c>
      <c r="E471" s="10"/>
    </row>
    <row r="472" spans="1:5" x14ac:dyDescent="0.3">
      <c r="A472" s="10"/>
      <c r="B472" s="41"/>
      <c r="C472" s="41"/>
      <c r="D472" s="29">
        <f t="shared" si="3"/>
        <v>0</v>
      </c>
      <c r="E472" s="10"/>
    </row>
    <row r="473" spans="1:5" x14ac:dyDescent="0.3">
      <c r="A473" s="10"/>
      <c r="B473" s="41"/>
      <c r="C473" s="41"/>
      <c r="D473" s="29">
        <f t="shared" si="3"/>
        <v>0</v>
      </c>
      <c r="E473" s="10"/>
    </row>
    <row r="474" spans="1:5" x14ac:dyDescent="0.3">
      <c r="A474" s="10"/>
      <c r="B474" s="41"/>
      <c r="C474" s="41"/>
      <c r="D474" s="29">
        <f t="shared" si="3"/>
        <v>0</v>
      </c>
      <c r="E474" s="10"/>
    </row>
    <row r="475" spans="1:5" x14ac:dyDescent="0.3">
      <c r="A475" s="10"/>
      <c r="B475" s="41"/>
      <c r="C475" s="41"/>
      <c r="D475" s="29">
        <f t="shared" si="3"/>
        <v>0</v>
      </c>
      <c r="E475" s="10"/>
    </row>
    <row r="476" spans="1:5" x14ac:dyDescent="0.3">
      <c r="A476" s="10"/>
      <c r="B476" s="41"/>
      <c r="C476" s="41"/>
      <c r="D476" s="29">
        <f t="shared" si="3"/>
        <v>0</v>
      </c>
      <c r="E476" s="10"/>
    </row>
    <row r="477" spans="1:5" x14ac:dyDescent="0.3">
      <c r="A477" s="10"/>
      <c r="B477" s="41"/>
      <c r="C477" s="41"/>
      <c r="D477" s="29">
        <f t="shared" si="3"/>
        <v>0</v>
      </c>
      <c r="E477" s="10"/>
    </row>
    <row r="478" spans="1:5" x14ac:dyDescent="0.3">
      <c r="A478" s="10"/>
      <c r="B478" s="41"/>
      <c r="C478" s="41"/>
      <c r="D478" s="29">
        <f t="shared" si="3"/>
        <v>0</v>
      </c>
      <c r="E478" s="10"/>
    </row>
    <row r="479" spans="1:5" x14ac:dyDescent="0.3">
      <c r="A479" s="10"/>
      <c r="B479" s="41"/>
      <c r="C479" s="41"/>
      <c r="D479" s="29">
        <f t="shared" si="3"/>
        <v>0</v>
      </c>
      <c r="E479" s="10"/>
    </row>
    <row r="480" spans="1:5" x14ac:dyDescent="0.3">
      <c r="A480" s="10"/>
      <c r="B480" s="41"/>
      <c r="C480" s="41"/>
      <c r="D480" s="29">
        <f t="shared" si="3"/>
        <v>0</v>
      </c>
      <c r="E480" s="10"/>
    </row>
    <row r="481" spans="1:5" x14ac:dyDescent="0.3">
      <c r="A481" s="10"/>
      <c r="B481" s="41"/>
      <c r="C481" s="41"/>
      <c r="D481" s="29">
        <f t="shared" si="3"/>
        <v>0</v>
      </c>
      <c r="E481" s="10"/>
    </row>
    <row r="482" spans="1:5" x14ac:dyDescent="0.3">
      <c r="A482" s="10"/>
      <c r="B482" s="41"/>
      <c r="C482" s="41"/>
      <c r="D482" s="29">
        <f t="shared" si="3"/>
        <v>0</v>
      </c>
      <c r="E482" s="10"/>
    </row>
    <row r="483" spans="1:5" x14ac:dyDescent="0.3">
      <c r="A483" s="10"/>
      <c r="B483" s="41"/>
      <c r="C483" s="41"/>
      <c r="D483" s="29">
        <f t="shared" si="3"/>
        <v>0</v>
      </c>
      <c r="E483" s="10"/>
    </row>
    <row r="484" spans="1:5" x14ac:dyDescent="0.3">
      <c r="A484" s="10"/>
      <c r="B484" s="41"/>
      <c r="C484" s="41"/>
      <c r="D484" s="29">
        <f t="shared" si="3"/>
        <v>0</v>
      </c>
      <c r="E484" s="10"/>
    </row>
    <row r="485" spans="1:5" x14ac:dyDescent="0.3">
      <c r="A485" s="10"/>
      <c r="B485" s="41"/>
      <c r="C485" s="41"/>
      <c r="D485" s="29">
        <f t="shared" si="3"/>
        <v>0</v>
      </c>
      <c r="E485" s="10"/>
    </row>
    <row r="486" spans="1:5" x14ac:dyDescent="0.3">
      <c r="A486" s="10"/>
      <c r="B486" s="41"/>
      <c r="C486" s="41"/>
      <c r="D486" s="29">
        <f t="shared" si="3"/>
        <v>0</v>
      </c>
      <c r="E486" s="10"/>
    </row>
    <row r="487" spans="1:5" x14ac:dyDescent="0.3">
      <c r="A487" s="10"/>
      <c r="B487" s="41"/>
      <c r="C487" s="41"/>
      <c r="D487" s="29">
        <f t="shared" si="3"/>
        <v>0</v>
      </c>
      <c r="E487" s="10"/>
    </row>
    <row r="488" spans="1:5" x14ac:dyDescent="0.3">
      <c r="A488" s="10"/>
      <c r="B488" s="41"/>
      <c r="C488" s="41"/>
      <c r="D488" s="29">
        <f t="shared" si="3"/>
        <v>0</v>
      </c>
      <c r="E488" s="10"/>
    </row>
    <row r="489" spans="1:5" x14ac:dyDescent="0.3">
      <c r="A489" s="10"/>
      <c r="B489" s="41"/>
      <c r="C489" s="41"/>
      <c r="D489" s="29">
        <f t="shared" si="3"/>
        <v>0</v>
      </c>
      <c r="E489" s="10"/>
    </row>
    <row r="490" spans="1:5" x14ac:dyDescent="0.3">
      <c r="A490" s="10"/>
      <c r="B490" s="41"/>
      <c r="C490" s="41"/>
      <c r="D490" s="29">
        <f t="shared" si="3"/>
        <v>0</v>
      </c>
      <c r="E490" s="10"/>
    </row>
    <row r="491" spans="1:5" x14ac:dyDescent="0.3">
      <c r="A491" s="10"/>
      <c r="B491" s="41"/>
      <c r="C491" s="41"/>
      <c r="D491" s="29">
        <f t="shared" si="3"/>
        <v>0</v>
      </c>
      <c r="E491" s="10"/>
    </row>
    <row r="492" spans="1:5" x14ac:dyDescent="0.3">
      <c r="A492" s="10"/>
      <c r="B492" s="41"/>
      <c r="C492" s="41"/>
      <c r="D492" s="29">
        <f t="shared" si="3"/>
        <v>0</v>
      </c>
      <c r="E492" s="10"/>
    </row>
    <row r="493" spans="1:5" x14ac:dyDescent="0.3">
      <c r="A493" s="10"/>
      <c r="B493" s="41"/>
      <c r="C493" s="41"/>
      <c r="D493" s="29">
        <f t="shared" si="3"/>
        <v>0</v>
      </c>
      <c r="E493" s="10"/>
    </row>
    <row r="494" spans="1:5" x14ac:dyDescent="0.3">
      <c r="A494" s="10"/>
      <c r="B494" s="41"/>
      <c r="C494" s="41"/>
      <c r="D494" s="29">
        <f t="shared" si="3"/>
        <v>0</v>
      </c>
      <c r="E494" s="10"/>
    </row>
    <row r="495" spans="1:5" x14ac:dyDescent="0.3">
      <c r="A495" s="10"/>
      <c r="B495" s="41"/>
      <c r="C495" s="41"/>
      <c r="D495" s="29">
        <f t="shared" si="3"/>
        <v>0</v>
      </c>
      <c r="E495" s="10"/>
    </row>
    <row r="496" spans="1:5" x14ac:dyDescent="0.3">
      <c r="A496" s="10"/>
      <c r="B496" s="41"/>
      <c r="C496" s="41"/>
      <c r="D496" s="29">
        <f t="shared" si="3"/>
        <v>0</v>
      </c>
      <c r="E496" s="10"/>
    </row>
    <row r="497" spans="1:5" x14ac:dyDescent="0.3">
      <c r="A497" s="10"/>
      <c r="B497" s="41"/>
      <c r="C497" s="41"/>
      <c r="D497" s="29">
        <f t="shared" ref="D497:D560" si="4">C497-B497</f>
        <v>0</v>
      </c>
      <c r="E497" s="10"/>
    </row>
    <row r="498" spans="1:5" x14ac:dyDescent="0.3">
      <c r="A498" s="10"/>
      <c r="B498" s="41"/>
      <c r="C498" s="41"/>
      <c r="D498" s="29">
        <f t="shared" si="4"/>
        <v>0</v>
      </c>
      <c r="E498" s="10"/>
    </row>
    <row r="499" spans="1:5" x14ac:dyDescent="0.3">
      <c r="A499" s="10"/>
      <c r="B499" s="41"/>
      <c r="C499" s="41"/>
      <c r="D499" s="29">
        <f t="shared" si="4"/>
        <v>0</v>
      </c>
      <c r="E499" s="10"/>
    </row>
    <row r="500" spans="1:5" x14ac:dyDescent="0.3">
      <c r="A500" s="10"/>
      <c r="B500" s="41"/>
      <c r="C500" s="41"/>
      <c r="D500" s="29">
        <f t="shared" si="4"/>
        <v>0</v>
      </c>
      <c r="E500" s="10"/>
    </row>
    <row r="501" spans="1:5" x14ac:dyDescent="0.3">
      <c r="A501" s="10"/>
      <c r="B501" s="41"/>
      <c r="C501" s="41"/>
      <c r="D501" s="29">
        <f t="shared" si="4"/>
        <v>0</v>
      </c>
      <c r="E501" s="10"/>
    </row>
    <row r="502" spans="1:5" x14ac:dyDescent="0.3">
      <c r="A502" s="10"/>
      <c r="B502" s="41"/>
      <c r="C502" s="41"/>
      <c r="D502" s="29">
        <f t="shared" si="4"/>
        <v>0</v>
      </c>
      <c r="E502" s="10"/>
    </row>
    <row r="503" spans="1:5" x14ac:dyDescent="0.3">
      <c r="A503" s="10"/>
      <c r="B503" s="41"/>
      <c r="C503" s="41"/>
      <c r="D503" s="29">
        <f t="shared" si="4"/>
        <v>0</v>
      </c>
      <c r="E503" s="10"/>
    </row>
    <row r="504" spans="1:5" x14ac:dyDescent="0.3">
      <c r="A504" s="10"/>
      <c r="B504" s="41"/>
      <c r="C504" s="41"/>
      <c r="D504" s="29">
        <f t="shared" si="4"/>
        <v>0</v>
      </c>
      <c r="E504" s="10"/>
    </row>
    <row r="505" spans="1:5" x14ac:dyDescent="0.3">
      <c r="A505" s="10"/>
      <c r="B505" s="41"/>
      <c r="C505" s="41"/>
      <c r="D505" s="29">
        <f t="shared" si="4"/>
        <v>0</v>
      </c>
      <c r="E505" s="10"/>
    </row>
    <row r="506" spans="1:5" x14ac:dyDescent="0.3">
      <c r="A506" s="10"/>
      <c r="B506" s="41"/>
      <c r="C506" s="41"/>
      <c r="D506" s="29">
        <f t="shared" si="4"/>
        <v>0</v>
      </c>
      <c r="E506" s="10"/>
    </row>
    <row r="507" spans="1:5" x14ac:dyDescent="0.3">
      <c r="A507" s="10"/>
      <c r="B507" s="41"/>
      <c r="C507" s="41"/>
      <c r="D507" s="29">
        <f t="shared" si="4"/>
        <v>0</v>
      </c>
      <c r="E507" s="10"/>
    </row>
    <row r="508" spans="1:5" x14ac:dyDescent="0.3">
      <c r="A508" s="10"/>
      <c r="B508" s="41"/>
      <c r="C508" s="41"/>
      <c r="D508" s="29">
        <f t="shared" si="4"/>
        <v>0</v>
      </c>
      <c r="E508" s="10"/>
    </row>
    <row r="509" spans="1:5" x14ac:dyDescent="0.3">
      <c r="A509" s="10"/>
      <c r="B509" s="41"/>
      <c r="C509" s="41"/>
      <c r="D509" s="29">
        <f t="shared" si="4"/>
        <v>0</v>
      </c>
      <c r="E509" s="10"/>
    </row>
    <row r="510" spans="1:5" x14ac:dyDescent="0.3">
      <c r="A510" s="10"/>
      <c r="B510" s="41"/>
      <c r="C510" s="41"/>
      <c r="D510" s="29">
        <f t="shared" si="4"/>
        <v>0</v>
      </c>
      <c r="E510" s="10"/>
    </row>
    <row r="511" spans="1:5" x14ac:dyDescent="0.3">
      <c r="A511" s="10"/>
      <c r="B511" s="41"/>
      <c r="C511" s="41"/>
      <c r="D511" s="29">
        <f t="shared" si="4"/>
        <v>0</v>
      </c>
      <c r="E511" s="10"/>
    </row>
    <row r="512" spans="1:5" x14ac:dyDescent="0.3">
      <c r="A512" s="10"/>
      <c r="B512" s="41"/>
      <c r="C512" s="41"/>
      <c r="D512" s="29">
        <f t="shared" si="4"/>
        <v>0</v>
      </c>
      <c r="E512" s="10"/>
    </row>
    <row r="513" spans="1:5" x14ac:dyDescent="0.3">
      <c r="A513" s="10"/>
      <c r="B513" s="41"/>
      <c r="C513" s="41"/>
      <c r="D513" s="29">
        <f t="shared" si="4"/>
        <v>0</v>
      </c>
      <c r="E513" s="10"/>
    </row>
    <row r="514" spans="1:5" x14ac:dyDescent="0.3">
      <c r="A514" s="10"/>
      <c r="B514" s="41"/>
      <c r="C514" s="41"/>
      <c r="D514" s="29">
        <f t="shared" si="4"/>
        <v>0</v>
      </c>
      <c r="E514" s="10"/>
    </row>
    <row r="515" spans="1:5" x14ac:dyDescent="0.3">
      <c r="A515" s="10"/>
      <c r="B515" s="41"/>
      <c r="C515" s="41"/>
      <c r="D515" s="29">
        <f t="shared" si="4"/>
        <v>0</v>
      </c>
      <c r="E515" s="10"/>
    </row>
    <row r="516" spans="1:5" x14ac:dyDescent="0.3">
      <c r="A516" s="10"/>
      <c r="B516" s="41"/>
      <c r="C516" s="41"/>
      <c r="D516" s="29">
        <f t="shared" si="4"/>
        <v>0</v>
      </c>
      <c r="E516" s="10"/>
    </row>
    <row r="517" spans="1:5" x14ac:dyDescent="0.3">
      <c r="A517" s="10"/>
      <c r="B517" s="41"/>
      <c r="C517" s="41"/>
      <c r="D517" s="29">
        <f t="shared" si="4"/>
        <v>0</v>
      </c>
      <c r="E517" s="10"/>
    </row>
    <row r="518" spans="1:5" x14ac:dyDescent="0.3">
      <c r="A518" s="10"/>
      <c r="B518" s="41"/>
      <c r="C518" s="41"/>
      <c r="D518" s="29">
        <f t="shared" si="4"/>
        <v>0</v>
      </c>
      <c r="E518" s="10"/>
    </row>
    <row r="519" spans="1:5" x14ac:dyDescent="0.3">
      <c r="A519" s="10"/>
      <c r="B519" s="41"/>
      <c r="C519" s="41"/>
      <c r="D519" s="29">
        <f t="shared" si="4"/>
        <v>0</v>
      </c>
      <c r="E519" s="10"/>
    </row>
    <row r="520" spans="1:5" x14ac:dyDescent="0.3">
      <c r="A520" s="10"/>
      <c r="B520" s="41"/>
      <c r="C520" s="41"/>
      <c r="D520" s="29">
        <f t="shared" si="4"/>
        <v>0</v>
      </c>
      <c r="E520" s="10"/>
    </row>
    <row r="521" spans="1:5" x14ac:dyDescent="0.3">
      <c r="A521" s="10"/>
      <c r="B521" s="41"/>
      <c r="C521" s="41"/>
      <c r="D521" s="29">
        <f t="shared" si="4"/>
        <v>0</v>
      </c>
      <c r="E521" s="10"/>
    </row>
    <row r="522" spans="1:5" x14ac:dyDescent="0.3">
      <c r="A522" s="10"/>
      <c r="B522" s="41"/>
      <c r="C522" s="41"/>
      <c r="D522" s="29">
        <f t="shared" si="4"/>
        <v>0</v>
      </c>
      <c r="E522" s="10"/>
    </row>
    <row r="523" spans="1:5" x14ac:dyDescent="0.3">
      <c r="A523" s="10"/>
      <c r="B523" s="41"/>
      <c r="C523" s="41"/>
      <c r="D523" s="29">
        <f t="shared" si="4"/>
        <v>0</v>
      </c>
      <c r="E523" s="10"/>
    </row>
    <row r="524" spans="1:5" x14ac:dyDescent="0.3">
      <c r="A524" s="10"/>
      <c r="B524" s="41"/>
      <c r="C524" s="41"/>
      <c r="D524" s="29">
        <f t="shared" si="4"/>
        <v>0</v>
      </c>
      <c r="E524" s="10"/>
    </row>
    <row r="525" spans="1:5" x14ac:dyDescent="0.3">
      <c r="A525" s="10"/>
      <c r="B525" s="41"/>
      <c r="C525" s="41"/>
      <c r="D525" s="29">
        <f t="shared" si="4"/>
        <v>0</v>
      </c>
      <c r="E525" s="10"/>
    </row>
    <row r="526" spans="1:5" x14ac:dyDescent="0.3">
      <c r="A526" s="10"/>
      <c r="B526" s="41"/>
      <c r="C526" s="41"/>
      <c r="D526" s="29">
        <f t="shared" si="4"/>
        <v>0</v>
      </c>
      <c r="E526" s="10"/>
    </row>
    <row r="527" spans="1:5" x14ac:dyDescent="0.3">
      <c r="A527" s="10"/>
      <c r="B527" s="41"/>
      <c r="C527" s="41"/>
      <c r="D527" s="29">
        <f t="shared" si="4"/>
        <v>0</v>
      </c>
      <c r="E527" s="10"/>
    </row>
    <row r="528" spans="1:5" x14ac:dyDescent="0.3">
      <c r="A528" s="10"/>
      <c r="B528" s="41"/>
      <c r="C528" s="41"/>
      <c r="D528" s="29">
        <f t="shared" si="4"/>
        <v>0</v>
      </c>
      <c r="E528" s="10"/>
    </row>
    <row r="529" spans="1:5" x14ac:dyDescent="0.3">
      <c r="A529" s="10"/>
      <c r="B529" s="41"/>
      <c r="C529" s="41"/>
      <c r="D529" s="29">
        <f t="shared" si="4"/>
        <v>0</v>
      </c>
      <c r="E529" s="10"/>
    </row>
    <row r="530" spans="1:5" x14ac:dyDescent="0.3">
      <c r="A530" s="10"/>
      <c r="B530" s="41"/>
      <c r="C530" s="41"/>
      <c r="D530" s="29">
        <f t="shared" si="4"/>
        <v>0</v>
      </c>
      <c r="E530" s="10"/>
    </row>
    <row r="531" spans="1:5" x14ac:dyDescent="0.3">
      <c r="A531" s="10"/>
      <c r="B531" s="41"/>
      <c r="C531" s="41"/>
      <c r="D531" s="29">
        <f t="shared" si="4"/>
        <v>0</v>
      </c>
      <c r="E531" s="10"/>
    </row>
    <row r="532" spans="1:5" x14ac:dyDescent="0.3">
      <c r="A532" s="10"/>
      <c r="B532" s="41"/>
      <c r="C532" s="41"/>
      <c r="D532" s="29">
        <f t="shared" si="4"/>
        <v>0</v>
      </c>
      <c r="E532" s="10"/>
    </row>
    <row r="533" spans="1:5" x14ac:dyDescent="0.3">
      <c r="A533" s="10"/>
      <c r="B533" s="41"/>
      <c r="C533" s="41"/>
      <c r="D533" s="29">
        <f t="shared" si="4"/>
        <v>0</v>
      </c>
      <c r="E533" s="10"/>
    </row>
    <row r="534" spans="1:5" x14ac:dyDescent="0.3">
      <c r="A534" s="10"/>
      <c r="B534" s="41"/>
      <c r="C534" s="41"/>
      <c r="D534" s="29">
        <f t="shared" si="4"/>
        <v>0</v>
      </c>
      <c r="E534" s="10"/>
    </row>
    <row r="535" spans="1:5" x14ac:dyDescent="0.3">
      <c r="A535" s="10"/>
      <c r="B535" s="41"/>
      <c r="C535" s="41"/>
      <c r="D535" s="29">
        <f t="shared" si="4"/>
        <v>0</v>
      </c>
      <c r="E535" s="10"/>
    </row>
    <row r="536" spans="1:5" x14ac:dyDescent="0.3">
      <c r="A536" s="10"/>
      <c r="B536" s="41"/>
      <c r="C536" s="41"/>
      <c r="D536" s="29">
        <f t="shared" si="4"/>
        <v>0</v>
      </c>
      <c r="E536" s="10"/>
    </row>
    <row r="537" spans="1:5" x14ac:dyDescent="0.3">
      <c r="A537" s="10"/>
      <c r="B537" s="41"/>
      <c r="C537" s="41"/>
      <c r="D537" s="29">
        <f t="shared" si="4"/>
        <v>0</v>
      </c>
      <c r="E537" s="10"/>
    </row>
    <row r="538" spans="1:5" x14ac:dyDescent="0.3">
      <c r="A538" s="10"/>
      <c r="B538" s="41"/>
      <c r="C538" s="41"/>
      <c r="D538" s="29">
        <f t="shared" si="4"/>
        <v>0</v>
      </c>
      <c r="E538" s="10"/>
    </row>
    <row r="539" spans="1:5" x14ac:dyDescent="0.3">
      <c r="A539" s="10"/>
      <c r="B539" s="41"/>
      <c r="C539" s="41"/>
      <c r="D539" s="29">
        <f t="shared" si="4"/>
        <v>0</v>
      </c>
      <c r="E539" s="10"/>
    </row>
    <row r="540" spans="1:5" x14ac:dyDescent="0.3">
      <c r="A540" s="10"/>
      <c r="B540" s="41"/>
      <c r="C540" s="41"/>
      <c r="D540" s="29">
        <f t="shared" si="4"/>
        <v>0</v>
      </c>
      <c r="E540" s="10"/>
    </row>
    <row r="541" spans="1:5" x14ac:dyDescent="0.3">
      <c r="A541" s="10"/>
      <c r="B541" s="41"/>
      <c r="C541" s="41"/>
      <c r="D541" s="29">
        <f t="shared" si="4"/>
        <v>0</v>
      </c>
      <c r="E541" s="10"/>
    </row>
    <row r="542" spans="1:5" x14ac:dyDescent="0.3">
      <c r="A542" s="10"/>
      <c r="B542" s="41"/>
      <c r="C542" s="41"/>
      <c r="D542" s="29">
        <f t="shared" si="4"/>
        <v>0</v>
      </c>
      <c r="E542" s="10"/>
    </row>
    <row r="543" spans="1:5" x14ac:dyDescent="0.3">
      <c r="A543" s="10"/>
      <c r="B543" s="41"/>
      <c r="C543" s="41"/>
      <c r="D543" s="29">
        <f t="shared" si="4"/>
        <v>0</v>
      </c>
      <c r="E543" s="10"/>
    </row>
    <row r="544" spans="1:5" x14ac:dyDescent="0.3">
      <c r="A544" s="10"/>
      <c r="B544" s="41"/>
      <c r="C544" s="41"/>
      <c r="D544" s="29">
        <f t="shared" si="4"/>
        <v>0</v>
      </c>
      <c r="E544" s="10"/>
    </row>
    <row r="545" spans="1:5" x14ac:dyDescent="0.3">
      <c r="A545" s="10"/>
      <c r="B545" s="41"/>
      <c r="C545" s="41"/>
      <c r="D545" s="29">
        <f t="shared" si="4"/>
        <v>0</v>
      </c>
      <c r="E545" s="10"/>
    </row>
    <row r="546" spans="1:5" x14ac:dyDescent="0.3">
      <c r="A546" s="10"/>
      <c r="B546" s="41"/>
      <c r="C546" s="41"/>
      <c r="D546" s="29">
        <f t="shared" si="4"/>
        <v>0</v>
      </c>
      <c r="E546" s="10"/>
    </row>
    <row r="547" spans="1:5" x14ac:dyDescent="0.3">
      <c r="A547" s="10"/>
      <c r="B547" s="41"/>
      <c r="C547" s="41"/>
      <c r="D547" s="29">
        <f t="shared" si="4"/>
        <v>0</v>
      </c>
      <c r="E547" s="10"/>
    </row>
    <row r="548" spans="1:5" x14ac:dyDescent="0.3">
      <c r="A548" s="10"/>
      <c r="B548" s="41"/>
      <c r="C548" s="41"/>
      <c r="D548" s="29">
        <f t="shared" si="4"/>
        <v>0</v>
      </c>
      <c r="E548" s="10"/>
    </row>
    <row r="549" spans="1:5" x14ac:dyDescent="0.3">
      <c r="A549" s="10"/>
      <c r="B549" s="41"/>
      <c r="C549" s="41"/>
      <c r="D549" s="29">
        <f t="shared" si="4"/>
        <v>0</v>
      </c>
      <c r="E549" s="10"/>
    </row>
    <row r="550" spans="1:5" x14ac:dyDescent="0.3">
      <c r="A550" s="10"/>
      <c r="B550" s="41"/>
      <c r="C550" s="41"/>
      <c r="D550" s="29">
        <f t="shared" si="4"/>
        <v>0</v>
      </c>
      <c r="E550" s="10"/>
    </row>
    <row r="551" spans="1:5" x14ac:dyDescent="0.3">
      <c r="A551" s="10"/>
      <c r="B551" s="41"/>
      <c r="C551" s="41"/>
      <c r="D551" s="29">
        <f t="shared" si="4"/>
        <v>0</v>
      </c>
      <c r="E551" s="10"/>
    </row>
    <row r="552" spans="1:5" x14ac:dyDescent="0.3">
      <c r="A552" s="10"/>
      <c r="B552" s="41"/>
      <c r="C552" s="41"/>
      <c r="D552" s="29">
        <f t="shared" si="4"/>
        <v>0</v>
      </c>
      <c r="E552" s="10"/>
    </row>
    <row r="553" spans="1:5" x14ac:dyDescent="0.3">
      <c r="A553" s="10"/>
      <c r="B553" s="41"/>
      <c r="C553" s="41"/>
      <c r="D553" s="29">
        <f t="shared" si="4"/>
        <v>0</v>
      </c>
      <c r="E553" s="10"/>
    </row>
    <row r="554" spans="1:5" x14ac:dyDescent="0.3">
      <c r="A554" s="10"/>
      <c r="B554" s="41"/>
      <c r="C554" s="41"/>
      <c r="D554" s="29">
        <f t="shared" si="4"/>
        <v>0</v>
      </c>
      <c r="E554" s="10"/>
    </row>
    <row r="555" spans="1:5" x14ac:dyDescent="0.3">
      <c r="A555" s="10"/>
      <c r="B555" s="41"/>
      <c r="C555" s="41"/>
      <c r="D555" s="29">
        <f t="shared" si="4"/>
        <v>0</v>
      </c>
      <c r="E555" s="10"/>
    </row>
    <row r="556" spans="1:5" x14ac:dyDescent="0.3">
      <c r="A556" s="10"/>
      <c r="B556" s="41"/>
      <c r="C556" s="41"/>
      <c r="D556" s="29">
        <f t="shared" si="4"/>
        <v>0</v>
      </c>
      <c r="E556" s="10"/>
    </row>
    <row r="557" spans="1:5" x14ac:dyDescent="0.3">
      <c r="A557" s="10"/>
      <c r="B557" s="41"/>
      <c r="C557" s="41"/>
      <c r="D557" s="29">
        <f t="shared" si="4"/>
        <v>0</v>
      </c>
      <c r="E557" s="10"/>
    </row>
    <row r="558" spans="1:5" x14ac:dyDescent="0.3">
      <c r="A558" s="10"/>
      <c r="B558" s="41"/>
      <c r="C558" s="41"/>
      <c r="D558" s="29">
        <f t="shared" si="4"/>
        <v>0</v>
      </c>
      <c r="E558" s="10"/>
    </row>
    <row r="559" spans="1:5" x14ac:dyDescent="0.3">
      <c r="A559" s="10"/>
      <c r="B559" s="41"/>
      <c r="C559" s="41"/>
      <c r="D559" s="29">
        <f t="shared" si="4"/>
        <v>0</v>
      </c>
      <c r="E559" s="10"/>
    </row>
    <row r="560" spans="1:5" x14ac:dyDescent="0.3">
      <c r="A560" s="10"/>
      <c r="B560" s="41"/>
      <c r="C560" s="41"/>
      <c r="D560" s="29">
        <f t="shared" si="4"/>
        <v>0</v>
      </c>
      <c r="E560" s="10"/>
    </row>
    <row r="561" spans="1:5" x14ac:dyDescent="0.3">
      <c r="A561" s="10"/>
      <c r="B561" s="41"/>
      <c r="C561" s="41"/>
      <c r="D561" s="29">
        <f t="shared" ref="D561:D582" si="5">C561-B561</f>
        <v>0</v>
      </c>
      <c r="E561" s="10"/>
    </row>
    <row r="562" spans="1:5" x14ac:dyDescent="0.3">
      <c r="A562" s="10"/>
      <c r="B562" s="41"/>
      <c r="C562" s="41"/>
      <c r="D562" s="29">
        <f t="shared" si="5"/>
        <v>0</v>
      </c>
      <c r="E562" s="10"/>
    </row>
    <row r="563" spans="1:5" x14ac:dyDescent="0.3">
      <c r="A563" s="10"/>
      <c r="B563" s="41"/>
      <c r="C563" s="41"/>
      <c r="D563" s="29">
        <f t="shared" si="5"/>
        <v>0</v>
      </c>
      <c r="E563" s="10"/>
    </row>
    <row r="564" spans="1:5" x14ac:dyDescent="0.3">
      <c r="A564" s="10"/>
      <c r="B564" s="41"/>
      <c r="C564" s="41"/>
      <c r="D564" s="29">
        <f t="shared" si="5"/>
        <v>0</v>
      </c>
      <c r="E564" s="10"/>
    </row>
    <row r="565" spans="1:5" x14ac:dyDescent="0.3">
      <c r="A565" s="10"/>
      <c r="B565" s="41"/>
      <c r="C565" s="41"/>
      <c r="D565" s="29">
        <f t="shared" si="5"/>
        <v>0</v>
      </c>
      <c r="E565" s="10"/>
    </row>
    <row r="566" spans="1:5" x14ac:dyDescent="0.3">
      <c r="A566" s="10"/>
      <c r="B566" s="41"/>
      <c r="C566" s="41"/>
      <c r="D566" s="29">
        <f t="shared" si="5"/>
        <v>0</v>
      </c>
      <c r="E566" s="10"/>
    </row>
    <row r="567" spans="1:5" x14ac:dyDescent="0.3">
      <c r="A567" s="10"/>
      <c r="B567" s="41"/>
      <c r="C567" s="41"/>
      <c r="D567" s="29">
        <f t="shared" si="5"/>
        <v>0</v>
      </c>
      <c r="E567" s="10"/>
    </row>
    <row r="568" spans="1:5" x14ac:dyDescent="0.3">
      <c r="A568" s="10"/>
      <c r="B568" s="41"/>
      <c r="C568" s="41"/>
      <c r="D568" s="29">
        <f t="shared" si="5"/>
        <v>0</v>
      </c>
      <c r="E568" s="10"/>
    </row>
    <row r="569" spans="1:5" x14ac:dyDescent="0.3">
      <c r="A569" s="10"/>
      <c r="B569" s="41"/>
      <c r="C569" s="41"/>
      <c r="D569" s="29">
        <f t="shared" si="5"/>
        <v>0</v>
      </c>
      <c r="E569" s="10"/>
    </row>
    <row r="570" spans="1:5" x14ac:dyDescent="0.3">
      <c r="A570" s="10"/>
      <c r="B570" s="41"/>
      <c r="C570" s="41"/>
      <c r="D570" s="29">
        <f t="shared" si="5"/>
        <v>0</v>
      </c>
      <c r="E570" s="10"/>
    </row>
    <row r="571" spans="1:5" x14ac:dyDescent="0.3">
      <c r="A571" s="10"/>
      <c r="B571" s="41"/>
      <c r="C571" s="41"/>
      <c r="D571" s="29">
        <f t="shared" si="5"/>
        <v>0</v>
      </c>
      <c r="E571" s="10"/>
    </row>
    <row r="572" spans="1:5" x14ac:dyDescent="0.3">
      <c r="A572" s="10"/>
      <c r="B572" s="41"/>
      <c r="C572" s="41"/>
      <c r="D572" s="29">
        <f t="shared" si="5"/>
        <v>0</v>
      </c>
      <c r="E572" s="10"/>
    </row>
    <row r="573" spans="1:5" x14ac:dyDescent="0.3">
      <c r="A573" s="10"/>
      <c r="B573" s="41"/>
      <c r="C573" s="41"/>
      <c r="D573" s="29">
        <f t="shared" si="5"/>
        <v>0</v>
      </c>
      <c r="E573" s="10"/>
    </row>
    <row r="574" spans="1:5" x14ac:dyDescent="0.3">
      <c r="A574" s="10"/>
      <c r="B574" s="41"/>
      <c r="C574" s="41"/>
      <c r="D574" s="29">
        <f t="shared" si="5"/>
        <v>0</v>
      </c>
      <c r="E574" s="10"/>
    </row>
    <row r="575" spans="1:5" x14ac:dyDescent="0.3">
      <c r="A575" s="10"/>
      <c r="B575" s="41"/>
      <c r="C575" s="41"/>
      <c r="D575" s="29">
        <f t="shared" si="5"/>
        <v>0</v>
      </c>
      <c r="E575" s="10"/>
    </row>
    <row r="576" spans="1:5" x14ac:dyDescent="0.3">
      <c r="A576" s="10"/>
      <c r="B576" s="41"/>
      <c r="C576" s="41"/>
      <c r="D576" s="29">
        <f t="shared" si="5"/>
        <v>0</v>
      </c>
      <c r="E576" s="10"/>
    </row>
    <row r="577" spans="1:5" x14ac:dyDescent="0.3">
      <c r="A577" s="10"/>
      <c r="B577" s="41"/>
      <c r="C577" s="41"/>
      <c r="D577" s="29">
        <f t="shared" si="5"/>
        <v>0</v>
      </c>
      <c r="E577" s="10"/>
    </row>
    <row r="578" spans="1:5" x14ac:dyDescent="0.3">
      <c r="A578" s="10"/>
      <c r="B578" s="41"/>
      <c r="C578" s="41"/>
      <c r="D578" s="29">
        <f t="shared" si="5"/>
        <v>0</v>
      </c>
      <c r="E578" s="10"/>
    </row>
    <row r="579" spans="1:5" x14ac:dyDescent="0.3">
      <c r="A579" s="10"/>
      <c r="B579" s="41"/>
      <c r="C579" s="41"/>
      <c r="D579" s="29">
        <f t="shared" si="5"/>
        <v>0</v>
      </c>
      <c r="E579" s="10"/>
    </row>
    <row r="580" spans="1:5" x14ac:dyDescent="0.3">
      <c r="A580" s="10"/>
      <c r="B580" s="41"/>
      <c r="C580" s="41"/>
      <c r="D580" s="29">
        <f t="shared" si="5"/>
        <v>0</v>
      </c>
      <c r="E580" s="10"/>
    </row>
    <row r="581" spans="1:5" x14ac:dyDescent="0.3">
      <c r="A581" s="10"/>
      <c r="B581" s="41"/>
      <c r="C581" s="41"/>
      <c r="D581" s="29">
        <f t="shared" si="5"/>
        <v>0</v>
      </c>
      <c r="E581" s="10"/>
    </row>
    <row r="582" spans="1:5" x14ac:dyDescent="0.3">
      <c r="A582" s="10"/>
      <c r="B582" s="41"/>
      <c r="C582" s="41"/>
      <c r="D582" s="29">
        <f t="shared" si="5"/>
        <v>0</v>
      </c>
      <c r="E582" s="10"/>
    </row>
    <row r="583" spans="1:5" x14ac:dyDescent="0.3">
      <c r="A583" s="10"/>
    </row>
  </sheetData>
  <autoFilter ref="A3:E99" xr:uid="{00000000-0009-0000-0000-000003000000}"/>
  <phoneticPr fontId="4" type="noConversion"/>
  <pageMargins left="0.25" right="0.25" top="0.75" bottom="0.75" header="0.3" footer="0.3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0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10" defaultColWidth="11.453125" defaultRowHeight="12.5" x14ac:dyDescent="0.25"/>
  <cols>
    <col min="1" max="1" width="11" customWidth="1"/>
    <col min="2" max="3" width="5.81640625" bestFit="1" customWidth="1"/>
    <col min="4" max="4" width="11.453125" customWidth="1"/>
    <col min="5" max="5" width="11.7265625" bestFit="1" customWidth="1"/>
    <col min="6" max="6" width="11.7265625" customWidth="1"/>
    <col min="7" max="7" width="11.54296875" customWidth="1"/>
    <col min="8" max="9" width="11.1796875" customWidth="1"/>
    <col min="10" max="10" width="12.7265625" bestFit="1" customWidth="1"/>
    <col min="11" max="11" width="11.54296875" customWidth="1"/>
    <col min="12" max="12" width="13" customWidth="1"/>
    <col min="13" max="13" width="18.7265625" customWidth="1"/>
    <col min="14" max="14" width="28.54296875" customWidth="1"/>
    <col min="15" max="15" width="7" customWidth="1"/>
    <col min="16" max="16" width="14" bestFit="1" customWidth="1"/>
    <col min="17" max="17" width="30.1796875" bestFit="1" customWidth="1"/>
    <col min="20" max="20" width="12.1796875" bestFit="1" customWidth="1"/>
  </cols>
  <sheetData>
    <row r="1" spans="1:20" ht="40.5" customHeight="1" x14ac:dyDescent="0.25">
      <c r="A1" s="19" t="s">
        <v>20</v>
      </c>
      <c r="B1" s="20" t="s">
        <v>21</v>
      </c>
      <c r="C1" s="20" t="s">
        <v>22</v>
      </c>
      <c r="D1" s="19" t="s">
        <v>23</v>
      </c>
      <c r="E1" s="19" t="s">
        <v>24</v>
      </c>
      <c r="F1" s="19" t="s">
        <v>25</v>
      </c>
      <c r="G1" s="19" t="s">
        <v>26</v>
      </c>
      <c r="H1" s="19" t="s">
        <v>27</v>
      </c>
      <c r="I1" s="19" t="s">
        <v>28</v>
      </c>
      <c r="J1" s="19" t="s">
        <v>29</v>
      </c>
      <c r="K1" s="34" t="s">
        <v>30</v>
      </c>
      <c r="L1" s="39" t="s">
        <v>1</v>
      </c>
      <c r="M1" s="33" t="s">
        <v>31</v>
      </c>
      <c r="O1" t="s">
        <v>32</v>
      </c>
    </row>
    <row r="2" spans="1:20" x14ac:dyDescent="0.25">
      <c r="A2" s="69">
        <v>44409</v>
      </c>
      <c r="B2" s="59"/>
      <c r="C2" s="59"/>
      <c r="D2" s="21">
        <f>+Ventas!D4</f>
        <v>0</v>
      </c>
      <c r="E2" s="21">
        <f>D2/1.19</f>
        <v>0</v>
      </c>
      <c r="F2" s="21">
        <f>+Transbank!B4</f>
        <v>0</v>
      </c>
      <c r="G2" s="21">
        <f>+Cuadratura!$K$35</f>
        <v>0</v>
      </c>
      <c r="H2" s="21" t="e">
        <f>VLOOKUP(A2,Resumen!$G$3:$H$54,2,0)</f>
        <v>#N/A</v>
      </c>
      <c r="I2" s="21">
        <v>44080</v>
      </c>
      <c r="J2" s="21" t="e">
        <f>+D2-F2-H2+I2</f>
        <v>#N/A</v>
      </c>
      <c r="K2" s="45"/>
      <c r="L2" s="68" t="e">
        <f t="shared" ref="L2:L32" si="0">+K2-J2</f>
        <v>#N/A</v>
      </c>
      <c r="M2" s="42"/>
      <c r="N2" s="55"/>
      <c r="O2" s="54"/>
    </row>
    <row r="3" spans="1:20" x14ac:dyDescent="0.25">
      <c r="A3" s="69">
        <v>44410</v>
      </c>
      <c r="B3" s="59"/>
      <c r="C3" s="59"/>
      <c r="D3" s="21">
        <f>+Ventas!D5</f>
        <v>0</v>
      </c>
      <c r="E3" s="21">
        <f t="shared" ref="E3:E11" si="1">D3/1.19</f>
        <v>0</v>
      </c>
      <c r="F3" s="21">
        <f>+Transbank!B5</f>
        <v>0</v>
      </c>
      <c r="G3" s="21">
        <f>+Cuadratura!$K$35</f>
        <v>0</v>
      </c>
      <c r="H3" s="21" t="e">
        <f>VLOOKUP(A3,Resumen!$G$3:$H$54,2,0)</f>
        <v>#N/A</v>
      </c>
      <c r="I3" s="21">
        <f t="shared" ref="I3:I32" si="2">K2-M2</f>
        <v>0</v>
      </c>
      <c r="J3" s="21" t="e">
        <f t="shared" ref="J3:J26" si="3">+D3-F3-H3+I3</f>
        <v>#N/A</v>
      </c>
      <c r="K3" s="45"/>
      <c r="L3" s="68" t="e">
        <f t="shared" si="0"/>
        <v>#N/A</v>
      </c>
      <c r="M3" s="42"/>
      <c r="N3" s="55"/>
      <c r="O3" s="54"/>
    </row>
    <row r="4" spans="1:20" x14ac:dyDescent="0.25">
      <c r="A4" s="69">
        <v>44411</v>
      </c>
      <c r="B4" s="59"/>
      <c r="C4" s="59"/>
      <c r="D4" s="21">
        <f>+Ventas!D6</f>
        <v>0</v>
      </c>
      <c r="E4" s="21">
        <f t="shared" si="1"/>
        <v>0</v>
      </c>
      <c r="F4" s="21">
        <f>+Transbank!B6</f>
        <v>0</v>
      </c>
      <c r="G4" s="21">
        <f>+Cuadratura!$K$35</f>
        <v>0</v>
      </c>
      <c r="H4" s="21" t="e">
        <f>VLOOKUP(A4,Resumen!$G$3:$H$54,2,0)</f>
        <v>#N/A</v>
      </c>
      <c r="I4" s="21">
        <f t="shared" si="2"/>
        <v>0</v>
      </c>
      <c r="J4" s="21" t="e">
        <f t="shared" si="3"/>
        <v>#N/A</v>
      </c>
      <c r="K4" s="45"/>
      <c r="L4" s="68" t="e">
        <f t="shared" si="0"/>
        <v>#N/A</v>
      </c>
      <c r="M4" s="42"/>
      <c r="N4" s="55"/>
      <c r="O4" s="54"/>
    </row>
    <row r="5" spans="1:20" x14ac:dyDescent="0.25">
      <c r="A5" s="69">
        <v>44412</v>
      </c>
      <c r="B5" s="59"/>
      <c r="C5" s="59"/>
      <c r="D5" s="21">
        <f>+Ventas!D7</f>
        <v>0</v>
      </c>
      <c r="E5" s="21">
        <f t="shared" si="1"/>
        <v>0</v>
      </c>
      <c r="F5" s="21">
        <f>+Transbank!B7</f>
        <v>0</v>
      </c>
      <c r="G5" s="21">
        <f>+Cuadratura!$K$35</f>
        <v>0</v>
      </c>
      <c r="H5" s="21" t="e">
        <f>VLOOKUP(A5,Resumen!$G$3:$H$54,2,0)</f>
        <v>#N/A</v>
      </c>
      <c r="I5" s="21">
        <f t="shared" si="2"/>
        <v>0</v>
      </c>
      <c r="J5" s="21" t="e">
        <f t="shared" si="3"/>
        <v>#N/A</v>
      </c>
      <c r="K5" s="45"/>
      <c r="L5" s="68" t="e">
        <f t="shared" si="0"/>
        <v>#N/A</v>
      </c>
      <c r="M5" s="42"/>
      <c r="N5" s="54"/>
      <c r="O5" s="54"/>
    </row>
    <row r="6" spans="1:20" x14ac:dyDescent="0.25">
      <c r="A6" s="69">
        <v>44413</v>
      </c>
      <c r="B6" s="59"/>
      <c r="C6" s="59"/>
      <c r="D6" s="21">
        <f>+Ventas!D8</f>
        <v>0</v>
      </c>
      <c r="E6" s="21">
        <f t="shared" si="1"/>
        <v>0</v>
      </c>
      <c r="F6" s="21">
        <f>+Transbank!B8</f>
        <v>0</v>
      </c>
      <c r="G6" s="21">
        <f>+Cuadratura!$K$35</f>
        <v>0</v>
      </c>
      <c r="H6" s="21" t="e">
        <f>VLOOKUP(A6,Resumen!$G$3:$H$54,2,0)</f>
        <v>#N/A</v>
      </c>
      <c r="I6" s="21">
        <f t="shared" si="2"/>
        <v>0</v>
      </c>
      <c r="J6" s="21" t="e">
        <f t="shared" si="3"/>
        <v>#N/A</v>
      </c>
      <c r="K6" s="45"/>
      <c r="L6" s="68" t="e">
        <f t="shared" si="0"/>
        <v>#N/A</v>
      </c>
      <c r="M6" s="42"/>
      <c r="N6" s="54"/>
      <c r="O6" s="54"/>
    </row>
    <row r="7" spans="1:20" x14ac:dyDescent="0.25">
      <c r="A7" s="69">
        <v>44414</v>
      </c>
      <c r="B7" s="59"/>
      <c r="C7" s="59"/>
      <c r="D7" s="21">
        <f>+Ventas!D9</f>
        <v>0</v>
      </c>
      <c r="E7" s="21">
        <f t="shared" si="1"/>
        <v>0</v>
      </c>
      <c r="F7" s="21">
        <f>+Transbank!B9</f>
        <v>0</v>
      </c>
      <c r="G7" s="21">
        <f>+Cuadratura!$K$35</f>
        <v>0</v>
      </c>
      <c r="H7" s="21" t="e">
        <f>VLOOKUP(A7,Resumen!$G$3:$H$54,2,0)</f>
        <v>#N/A</v>
      </c>
      <c r="I7" s="21">
        <f t="shared" si="2"/>
        <v>0</v>
      </c>
      <c r="J7" s="21" t="e">
        <f t="shared" si="3"/>
        <v>#N/A</v>
      </c>
      <c r="K7" s="45"/>
      <c r="L7" s="68" t="e">
        <f t="shared" si="0"/>
        <v>#N/A</v>
      </c>
      <c r="M7" s="42"/>
      <c r="N7" s="54"/>
      <c r="O7" s="54"/>
    </row>
    <row r="8" spans="1:20" x14ac:dyDescent="0.25">
      <c r="A8" s="69">
        <v>44415</v>
      </c>
      <c r="B8" s="59"/>
      <c r="C8" s="59"/>
      <c r="D8" s="21">
        <f>+Ventas!D10</f>
        <v>0</v>
      </c>
      <c r="E8" s="21">
        <f t="shared" si="1"/>
        <v>0</v>
      </c>
      <c r="F8" s="21">
        <f>+Transbank!B10</f>
        <v>0</v>
      </c>
      <c r="G8" s="21">
        <f>+Cuadratura!$K$35</f>
        <v>0</v>
      </c>
      <c r="H8" s="21" t="e">
        <f>VLOOKUP(A8,Resumen!$G$3:$H$54,2,0)</f>
        <v>#N/A</v>
      </c>
      <c r="I8" s="21">
        <f t="shared" si="2"/>
        <v>0</v>
      </c>
      <c r="J8" s="21" t="e">
        <f t="shared" si="3"/>
        <v>#N/A</v>
      </c>
      <c r="K8" s="45"/>
      <c r="L8" s="68" t="e">
        <f t="shared" si="0"/>
        <v>#N/A</v>
      </c>
      <c r="M8" s="42"/>
      <c r="N8" s="54"/>
      <c r="O8" s="54"/>
    </row>
    <row r="9" spans="1:20" x14ac:dyDescent="0.25">
      <c r="A9" s="69">
        <v>44416</v>
      </c>
      <c r="B9" s="59"/>
      <c r="C9" s="59"/>
      <c r="D9" s="21">
        <f>+Ventas!D11</f>
        <v>0</v>
      </c>
      <c r="E9" s="21">
        <f t="shared" si="1"/>
        <v>0</v>
      </c>
      <c r="F9" s="21">
        <f>+Transbank!B11</f>
        <v>0</v>
      </c>
      <c r="G9" s="21">
        <f>+Cuadratura!$K$35</f>
        <v>0</v>
      </c>
      <c r="H9" s="21" t="e">
        <f>VLOOKUP(A9,Resumen!$G$3:$H$54,2,0)</f>
        <v>#N/A</v>
      </c>
      <c r="I9" s="21">
        <f t="shared" si="2"/>
        <v>0</v>
      </c>
      <c r="J9" s="21" t="e">
        <f t="shared" si="3"/>
        <v>#N/A</v>
      </c>
      <c r="K9" s="45"/>
      <c r="L9" s="68" t="e">
        <f t="shared" si="0"/>
        <v>#N/A</v>
      </c>
      <c r="M9" s="42"/>
      <c r="N9" s="54"/>
      <c r="O9" s="54"/>
      <c r="P9" s="25"/>
      <c r="Q9" s="25"/>
    </row>
    <row r="10" spans="1:20" x14ac:dyDescent="0.25">
      <c r="A10" s="69">
        <v>44417</v>
      </c>
      <c r="B10" s="59"/>
      <c r="C10" s="59"/>
      <c r="D10" s="21">
        <f>+Ventas!D12</f>
        <v>0</v>
      </c>
      <c r="E10" s="21">
        <f t="shared" si="1"/>
        <v>0</v>
      </c>
      <c r="F10" s="21">
        <f>+Transbank!B12</f>
        <v>0</v>
      </c>
      <c r="G10" s="21">
        <f>+Cuadratura!$K$35</f>
        <v>0</v>
      </c>
      <c r="H10" s="21" t="e">
        <f>VLOOKUP(A10,Resumen!$G$3:$H$54,2,0)</f>
        <v>#N/A</v>
      </c>
      <c r="I10" s="21">
        <f t="shared" si="2"/>
        <v>0</v>
      </c>
      <c r="J10" s="21" t="e">
        <f t="shared" si="3"/>
        <v>#N/A</v>
      </c>
      <c r="K10" s="45"/>
      <c r="L10" s="68" t="e">
        <f t="shared" si="0"/>
        <v>#N/A</v>
      </c>
      <c r="M10" s="42"/>
      <c r="N10" s="64"/>
      <c r="O10" s="54"/>
      <c r="P10" s="25"/>
      <c r="Q10" s="25"/>
    </row>
    <row r="11" spans="1:20" x14ac:dyDescent="0.25">
      <c r="A11" s="69">
        <v>44418</v>
      </c>
      <c r="B11" s="59"/>
      <c r="C11" s="59"/>
      <c r="D11" s="21">
        <f>+Ventas!D13</f>
        <v>0</v>
      </c>
      <c r="E11" s="21">
        <f t="shared" si="1"/>
        <v>0</v>
      </c>
      <c r="F11" s="21">
        <f>+Transbank!B13</f>
        <v>0</v>
      </c>
      <c r="G11" s="21">
        <f>+Cuadratura!$K$35</f>
        <v>0</v>
      </c>
      <c r="H11" s="21" t="e">
        <f>VLOOKUP(A11,Resumen!$G$3:$H$54,2,0)</f>
        <v>#N/A</v>
      </c>
      <c r="I11" s="21">
        <f t="shared" si="2"/>
        <v>0</v>
      </c>
      <c r="J11" s="21" t="e">
        <f t="shared" si="3"/>
        <v>#N/A</v>
      </c>
      <c r="K11" s="45"/>
      <c r="L11" s="68" t="e">
        <f t="shared" si="0"/>
        <v>#N/A</v>
      </c>
      <c r="M11" s="42"/>
      <c r="N11" s="54"/>
      <c r="O11" s="79"/>
      <c r="P11" s="25"/>
      <c r="Q11" s="25"/>
    </row>
    <row r="12" spans="1:20" x14ac:dyDescent="0.25">
      <c r="A12" s="69">
        <v>44419</v>
      </c>
      <c r="B12" s="59"/>
      <c r="C12" s="59"/>
      <c r="D12" s="21">
        <f>+Ventas!D14</f>
        <v>0</v>
      </c>
      <c r="E12" s="21">
        <f t="shared" ref="E12:E32" si="4">D12/1.19</f>
        <v>0</v>
      </c>
      <c r="F12" s="21">
        <f>+Transbank!B14</f>
        <v>0</v>
      </c>
      <c r="G12" s="21">
        <f>+Cuadratura!$K$35</f>
        <v>0</v>
      </c>
      <c r="H12" s="21" t="e">
        <f>VLOOKUP(A12,Resumen!$G$3:$H$54,2,0)</f>
        <v>#N/A</v>
      </c>
      <c r="I12" s="21">
        <f t="shared" si="2"/>
        <v>0</v>
      </c>
      <c r="J12" s="21" t="e">
        <f t="shared" si="3"/>
        <v>#N/A</v>
      </c>
      <c r="K12" s="45"/>
      <c r="L12" s="68" t="e">
        <f t="shared" si="0"/>
        <v>#N/A</v>
      </c>
      <c r="M12" s="42"/>
      <c r="N12" s="54"/>
      <c r="O12" s="54"/>
      <c r="P12" s="25"/>
      <c r="Q12" s="25"/>
    </row>
    <row r="13" spans="1:20" s="25" customFormat="1" x14ac:dyDescent="0.25">
      <c r="A13" s="69">
        <v>44420</v>
      </c>
      <c r="B13" s="59"/>
      <c r="C13" s="134"/>
      <c r="D13" s="21">
        <f>+Ventas!D15</f>
        <v>0</v>
      </c>
      <c r="E13" s="21">
        <f t="shared" si="4"/>
        <v>0</v>
      </c>
      <c r="F13" s="21">
        <f>+Transbank!B15</f>
        <v>0</v>
      </c>
      <c r="G13" s="21">
        <f>+Cuadratura!$K$35</f>
        <v>0</v>
      </c>
      <c r="H13" s="21" t="e">
        <f>VLOOKUP(A13,Resumen!$G$3:$H$54,2,0)</f>
        <v>#N/A</v>
      </c>
      <c r="I13" s="21">
        <f t="shared" si="2"/>
        <v>0</v>
      </c>
      <c r="J13" s="21" t="e">
        <f t="shared" si="3"/>
        <v>#N/A</v>
      </c>
      <c r="K13" s="45"/>
      <c r="L13" s="68" t="e">
        <f t="shared" si="0"/>
        <v>#N/A</v>
      </c>
      <c r="M13" s="82"/>
      <c r="N13" s="135"/>
      <c r="O13" s="78"/>
    </row>
    <row r="14" spans="1:20" x14ac:dyDescent="0.25">
      <c r="A14" s="69">
        <v>44421</v>
      </c>
      <c r="B14" s="59"/>
      <c r="C14" s="59"/>
      <c r="D14" s="21">
        <f>+Ventas!D16</f>
        <v>0</v>
      </c>
      <c r="E14" s="21">
        <f t="shared" si="4"/>
        <v>0</v>
      </c>
      <c r="F14" s="21">
        <f>+Transbank!B16</f>
        <v>0</v>
      </c>
      <c r="G14" s="21">
        <f>+Cuadratura!$K$35</f>
        <v>0</v>
      </c>
      <c r="H14" s="21" t="e">
        <f>VLOOKUP(A14,Resumen!$G$3:$H$54,2,0)</f>
        <v>#N/A</v>
      </c>
      <c r="I14" s="21">
        <f t="shared" si="2"/>
        <v>0</v>
      </c>
      <c r="J14" s="21" t="e">
        <f t="shared" si="3"/>
        <v>#N/A</v>
      </c>
      <c r="K14" s="45"/>
      <c r="L14" s="68" t="e">
        <f t="shared" si="0"/>
        <v>#N/A</v>
      </c>
      <c r="M14" s="42"/>
      <c r="N14" s="54"/>
      <c r="O14" s="54"/>
      <c r="P14" s="65"/>
      <c r="Q14" s="52"/>
      <c r="S14" s="47"/>
      <c r="T14" s="48"/>
    </row>
    <row r="15" spans="1:20" x14ac:dyDescent="0.25">
      <c r="A15" s="69">
        <v>44422</v>
      </c>
      <c r="B15" s="59"/>
      <c r="C15" s="59"/>
      <c r="D15" s="21">
        <f>+Ventas!D17</f>
        <v>0</v>
      </c>
      <c r="E15" s="21">
        <f t="shared" si="4"/>
        <v>0</v>
      </c>
      <c r="F15" s="21">
        <f>+Transbank!B17</f>
        <v>0</v>
      </c>
      <c r="G15" s="21">
        <f>+Cuadratura!$K$35</f>
        <v>0</v>
      </c>
      <c r="H15" s="21" t="e">
        <f>VLOOKUP(A15,Resumen!$G$3:$H$54,2,0)</f>
        <v>#N/A</v>
      </c>
      <c r="I15" s="21">
        <f t="shared" si="2"/>
        <v>0</v>
      </c>
      <c r="J15" s="21" t="e">
        <f t="shared" si="3"/>
        <v>#N/A</v>
      </c>
      <c r="K15" s="45"/>
      <c r="L15" s="68" t="e">
        <f t="shared" si="0"/>
        <v>#N/A</v>
      </c>
      <c r="M15" s="42"/>
      <c r="N15" s="55"/>
      <c r="O15" s="54"/>
      <c r="P15" s="65"/>
      <c r="Q15" s="25"/>
      <c r="S15" s="47"/>
      <c r="T15" s="48"/>
    </row>
    <row r="16" spans="1:20" x14ac:dyDescent="0.25">
      <c r="A16" s="69">
        <v>44423</v>
      </c>
      <c r="B16" s="59"/>
      <c r="C16" s="59"/>
      <c r="D16" s="21">
        <f>+Ventas!D18</f>
        <v>0</v>
      </c>
      <c r="E16" s="21">
        <f t="shared" si="4"/>
        <v>0</v>
      </c>
      <c r="F16" s="21">
        <f>+Transbank!B18</f>
        <v>0</v>
      </c>
      <c r="G16" s="21">
        <f>+Cuadratura!$K$35</f>
        <v>0</v>
      </c>
      <c r="H16" s="21" t="e">
        <f>VLOOKUP(A16,Resumen!$G$3:$H$54,2,0)</f>
        <v>#N/A</v>
      </c>
      <c r="I16" s="21">
        <f t="shared" si="2"/>
        <v>0</v>
      </c>
      <c r="J16" s="21" t="e">
        <f t="shared" si="3"/>
        <v>#N/A</v>
      </c>
      <c r="K16" s="45"/>
      <c r="L16" s="68" t="e">
        <f t="shared" si="0"/>
        <v>#N/A</v>
      </c>
      <c r="M16" s="42"/>
      <c r="O16" s="54"/>
      <c r="P16" s="65"/>
      <c r="Q16" s="25"/>
    </row>
    <row r="17" spans="1:20" x14ac:dyDescent="0.25">
      <c r="A17" s="69">
        <v>44424</v>
      </c>
      <c r="B17" s="59"/>
      <c r="C17" s="59"/>
      <c r="D17" s="21">
        <f>+Ventas!D19</f>
        <v>0</v>
      </c>
      <c r="E17" s="21">
        <f t="shared" si="4"/>
        <v>0</v>
      </c>
      <c r="F17" s="21">
        <f>+Transbank!B19</f>
        <v>0</v>
      </c>
      <c r="G17" s="21">
        <f>+Cuadratura!$K$35</f>
        <v>0</v>
      </c>
      <c r="H17" s="21" t="e">
        <f>VLOOKUP(A17,Resumen!$G$3:$H$54,2,0)</f>
        <v>#N/A</v>
      </c>
      <c r="I17" s="21">
        <f t="shared" si="2"/>
        <v>0</v>
      </c>
      <c r="J17" s="21" t="e">
        <f t="shared" si="3"/>
        <v>#N/A</v>
      </c>
      <c r="K17" s="45"/>
      <c r="L17" s="68" t="e">
        <f t="shared" si="0"/>
        <v>#N/A</v>
      </c>
      <c r="M17" s="42"/>
      <c r="N17" s="55"/>
      <c r="O17" s="54"/>
      <c r="P17" s="53"/>
      <c r="Q17" s="25"/>
      <c r="T17" s="48"/>
    </row>
    <row r="18" spans="1:20" x14ac:dyDescent="0.25">
      <c r="A18" s="69">
        <v>44425</v>
      </c>
      <c r="B18" s="59"/>
      <c r="C18" s="59"/>
      <c r="D18" s="21">
        <f>+Ventas!D20</f>
        <v>0</v>
      </c>
      <c r="E18" s="21">
        <f t="shared" si="4"/>
        <v>0</v>
      </c>
      <c r="F18" s="21">
        <f>+Transbank!B20</f>
        <v>0</v>
      </c>
      <c r="G18" s="21">
        <f>+Cuadratura!$K$35</f>
        <v>0</v>
      </c>
      <c r="H18" s="21" t="e">
        <f>VLOOKUP(A18,Resumen!$G$3:$H$54,2,0)</f>
        <v>#N/A</v>
      </c>
      <c r="I18" s="21">
        <f t="shared" si="2"/>
        <v>0</v>
      </c>
      <c r="J18" s="21" t="e">
        <f t="shared" si="3"/>
        <v>#N/A</v>
      </c>
      <c r="K18" s="45"/>
      <c r="L18" s="68" t="e">
        <f t="shared" si="0"/>
        <v>#N/A</v>
      </c>
      <c r="M18" s="42"/>
      <c r="N18" s="55"/>
      <c r="O18" s="54"/>
      <c r="P18" s="65"/>
      <c r="Q18" s="25"/>
    </row>
    <row r="19" spans="1:20" x14ac:dyDescent="0.25">
      <c r="A19" s="69">
        <v>44426</v>
      </c>
      <c r="B19" s="59"/>
      <c r="C19" s="59"/>
      <c r="D19" s="21">
        <f>+Ventas!D21</f>
        <v>0</v>
      </c>
      <c r="E19" s="21">
        <f t="shared" si="4"/>
        <v>0</v>
      </c>
      <c r="F19" s="21">
        <f>+Transbank!B21</f>
        <v>0</v>
      </c>
      <c r="G19" s="21">
        <f>+Cuadratura!$K$35</f>
        <v>0</v>
      </c>
      <c r="H19" s="21" t="e">
        <f>VLOOKUP(A19,Resumen!$G$3:$H$54,2,0)</f>
        <v>#N/A</v>
      </c>
      <c r="I19" s="21">
        <f t="shared" si="2"/>
        <v>0</v>
      </c>
      <c r="J19" s="21" t="e">
        <f t="shared" si="3"/>
        <v>#N/A</v>
      </c>
      <c r="K19" s="45"/>
      <c r="L19" s="68" t="e">
        <f t="shared" si="0"/>
        <v>#N/A</v>
      </c>
      <c r="M19" s="42"/>
      <c r="N19" s="55"/>
      <c r="O19" s="55"/>
      <c r="P19" s="65"/>
      <c r="Q19" s="25"/>
    </row>
    <row r="20" spans="1:20" x14ac:dyDescent="0.25">
      <c r="A20" s="69">
        <v>44427</v>
      </c>
      <c r="B20" s="59"/>
      <c r="C20" s="59"/>
      <c r="D20" s="21">
        <f>+Ventas!D22</f>
        <v>0</v>
      </c>
      <c r="E20" s="21">
        <f t="shared" si="4"/>
        <v>0</v>
      </c>
      <c r="F20" s="21">
        <f>+Transbank!B22</f>
        <v>0</v>
      </c>
      <c r="G20" s="21">
        <f>+Cuadratura!$K$35</f>
        <v>0</v>
      </c>
      <c r="H20" s="21" t="e">
        <f>VLOOKUP(A20,Resumen!$G$3:$H$54,2,0)</f>
        <v>#N/A</v>
      </c>
      <c r="I20" s="21">
        <f t="shared" si="2"/>
        <v>0</v>
      </c>
      <c r="J20" s="21" t="e">
        <f t="shared" si="3"/>
        <v>#N/A</v>
      </c>
      <c r="K20" s="45"/>
      <c r="L20" s="68" t="e">
        <f t="shared" si="0"/>
        <v>#N/A</v>
      </c>
      <c r="M20" s="42"/>
      <c r="N20" s="55"/>
      <c r="O20" s="54"/>
      <c r="P20" s="65"/>
      <c r="Q20" s="25"/>
      <c r="S20" s="49"/>
      <c r="T20" s="50"/>
    </row>
    <row r="21" spans="1:20" x14ac:dyDescent="0.25">
      <c r="A21" s="69">
        <v>44428</v>
      </c>
      <c r="B21" s="59"/>
      <c r="C21" s="59"/>
      <c r="D21" s="21">
        <f>+Ventas!D23</f>
        <v>0</v>
      </c>
      <c r="E21" s="21">
        <f t="shared" si="4"/>
        <v>0</v>
      </c>
      <c r="F21" s="21">
        <f>+Transbank!B23</f>
        <v>0</v>
      </c>
      <c r="G21" s="21">
        <f>+Cuadratura!$K$35</f>
        <v>0</v>
      </c>
      <c r="H21" s="21" t="e">
        <f>VLOOKUP(A21,Resumen!$G$3:$H$54,2,0)</f>
        <v>#N/A</v>
      </c>
      <c r="I21" s="21">
        <f t="shared" si="2"/>
        <v>0</v>
      </c>
      <c r="J21" s="21" t="e">
        <f t="shared" si="3"/>
        <v>#N/A</v>
      </c>
      <c r="K21" s="45"/>
      <c r="L21" s="68" t="e">
        <f t="shared" si="0"/>
        <v>#N/A</v>
      </c>
      <c r="M21" s="42"/>
      <c r="N21" s="54"/>
      <c r="O21" s="54"/>
      <c r="P21" s="65"/>
      <c r="Q21" s="25"/>
    </row>
    <row r="22" spans="1:20" x14ac:dyDescent="0.25">
      <c r="A22" s="69">
        <v>44429</v>
      </c>
      <c r="B22" s="59"/>
      <c r="C22" s="59"/>
      <c r="D22" s="21">
        <f>+Ventas!D24</f>
        <v>0</v>
      </c>
      <c r="E22" s="21">
        <f t="shared" si="4"/>
        <v>0</v>
      </c>
      <c r="F22" s="21">
        <f>+Transbank!B24</f>
        <v>0</v>
      </c>
      <c r="G22" s="21">
        <f>+Cuadratura!$K$35</f>
        <v>0</v>
      </c>
      <c r="H22" s="21" t="e">
        <f>VLOOKUP(A22,Resumen!$G$3:$H$54,2,0)</f>
        <v>#N/A</v>
      </c>
      <c r="I22" s="21">
        <f t="shared" si="2"/>
        <v>0</v>
      </c>
      <c r="J22" s="21" t="e">
        <f t="shared" si="3"/>
        <v>#N/A</v>
      </c>
      <c r="K22" s="45"/>
      <c r="L22" s="68" t="e">
        <f t="shared" si="0"/>
        <v>#N/A</v>
      </c>
      <c r="M22" s="42"/>
      <c r="N22" s="54"/>
      <c r="O22" s="54"/>
      <c r="P22" s="65"/>
      <c r="Q22" s="25"/>
    </row>
    <row r="23" spans="1:20" x14ac:dyDescent="0.25">
      <c r="A23" s="69">
        <v>44430</v>
      </c>
      <c r="B23" s="59"/>
      <c r="C23" s="59"/>
      <c r="D23" s="21">
        <f>+Ventas!D25</f>
        <v>0</v>
      </c>
      <c r="E23" s="21">
        <f t="shared" si="4"/>
        <v>0</v>
      </c>
      <c r="F23" s="21">
        <f>+Transbank!B25</f>
        <v>0</v>
      </c>
      <c r="G23" s="21">
        <f>+Cuadratura!$K$35</f>
        <v>0</v>
      </c>
      <c r="H23" s="21" t="e">
        <f>VLOOKUP(A23,Resumen!$G$3:$H$54,2,0)</f>
        <v>#N/A</v>
      </c>
      <c r="I23" s="21">
        <f t="shared" si="2"/>
        <v>0</v>
      </c>
      <c r="J23" s="21" t="e">
        <f t="shared" si="3"/>
        <v>#N/A</v>
      </c>
      <c r="K23" s="45"/>
      <c r="L23" s="68" t="e">
        <f t="shared" si="0"/>
        <v>#N/A</v>
      </c>
      <c r="M23" s="42"/>
      <c r="N23" s="54"/>
      <c r="O23" s="79"/>
      <c r="P23" s="65"/>
      <c r="Q23" s="25"/>
    </row>
    <row r="24" spans="1:20" x14ac:dyDescent="0.25">
      <c r="A24" s="69">
        <v>44431</v>
      </c>
      <c r="B24" s="59"/>
      <c r="C24" s="59"/>
      <c r="D24" s="21">
        <f>+Ventas!D26</f>
        <v>0</v>
      </c>
      <c r="E24" s="21">
        <f t="shared" si="4"/>
        <v>0</v>
      </c>
      <c r="F24" s="21">
        <f>+Transbank!B26</f>
        <v>0</v>
      </c>
      <c r="G24" s="21">
        <f>+Cuadratura!$K$35</f>
        <v>0</v>
      </c>
      <c r="H24" s="21" t="e">
        <f>VLOOKUP(A24,Resumen!$G$3:$H$54,2,0)</f>
        <v>#N/A</v>
      </c>
      <c r="I24" s="21">
        <f t="shared" si="2"/>
        <v>0</v>
      </c>
      <c r="J24" s="21" t="e">
        <f t="shared" si="3"/>
        <v>#N/A</v>
      </c>
      <c r="K24" s="45"/>
      <c r="L24" s="68" t="e">
        <f t="shared" si="0"/>
        <v>#N/A</v>
      </c>
      <c r="M24" s="42"/>
      <c r="N24" s="54"/>
      <c r="O24" s="54"/>
      <c r="P24" s="65"/>
      <c r="Q24" s="25"/>
      <c r="T24" s="50"/>
    </row>
    <row r="25" spans="1:20" x14ac:dyDescent="0.25">
      <c r="A25" s="69">
        <v>44432</v>
      </c>
      <c r="B25" s="59"/>
      <c r="C25" s="59"/>
      <c r="D25" s="21">
        <f>+Ventas!D27</f>
        <v>0</v>
      </c>
      <c r="E25" s="21">
        <f t="shared" si="4"/>
        <v>0</v>
      </c>
      <c r="F25" s="21">
        <f>+Transbank!B27</f>
        <v>0</v>
      </c>
      <c r="G25" s="21">
        <f>+Cuadratura!$K$35</f>
        <v>0</v>
      </c>
      <c r="H25" s="21" t="e">
        <f>VLOOKUP(A25,Resumen!$G$3:$H$54,2,0)</f>
        <v>#N/A</v>
      </c>
      <c r="I25" s="21">
        <f t="shared" si="2"/>
        <v>0</v>
      </c>
      <c r="J25" s="21" t="e">
        <f t="shared" si="3"/>
        <v>#N/A</v>
      </c>
      <c r="K25" s="45"/>
      <c r="L25" s="68" t="e">
        <f t="shared" si="0"/>
        <v>#N/A</v>
      </c>
      <c r="M25" s="42"/>
      <c r="N25" s="54"/>
      <c r="O25" s="54"/>
      <c r="P25" s="65"/>
      <c r="Q25" s="25"/>
    </row>
    <row r="26" spans="1:20" x14ac:dyDescent="0.25">
      <c r="A26" s="69">
        <v>44433</v>
      </c>
      <c r="B26" s="59"/>
      <c r="C26" s="59"/>
      <c r="D26" s="21">
        <f>+Ventas!D28</f>
        <v>0</v>
      </c>
      <c r="E26" s="21">
        <f t="shared" si="4"/>
        <v>0</v>
      </c>
      <c r="F26" s="21">
        <f>+Transbank!B28</f>
        <v>0</v>
      </c>
      <c r="G26" s="21">
        <f>+Cuadratura!$K$35</f>
        <v>0</v>
      </c>
      <c r="H26" s="21" t="e">
        <f>VLOOKUP(A26,Resumen!$G$3:$H$54,2,0)</f>
        <v>#N/A</v>
      </c>
      <c r="I26" s="21">
        <f t="shared" si="2"/>
        <v>0</v>
      </c>
      <c r="J26" s="21" t="e">
        <f t="shared" si="3"/>
        <v>#N/A</v>
      </c>
      <c r="K26" s="45"/>
      <c r="L26" s="68" t="e">
        <f t="shared" si="0"/>
        <v>#N/A</v>
      </c>
      <c r="M26" s="42"/>
      <c r="N26" s="54" t="s">
        <v>68</v>
      </c>
      <c r="O26" s="54"/>
      <c r="P26" s="25"/>
      <c r="Q26" s="25"/>
    </row>
    <row r="27" spans="1:20" x14ac:dyDescent="0.25">
      <c r="A27" s="69">
        <v>44434</v>
      </c>
      <c r="B27" s="59"/>
      <c r="C27" s="59"/>
      <c r="D27" s="21">
        <f>+Ventas!D29</f>
        <v>0</v>
      </c>
      <c r="E27" s="21">
        <f t="shared" si="4"/>
        <v>0</v>
      </c>
      <c r="F27" s="21">
        <f>+Transbank!B29</f>
        <v>0</v>
      </c>
      <c r="G27" s="21">
        <f>+Cuadratura!$K$35</f>
        <v>0</v>
      </c>
      <c r="H27" s="21" t="e">
        <f>VLOOKUP(A27,Resumen!$G$3:$H$54,2,0)</f>
        <v>#N/A</v>
      </c>
      <c r="I27" s="21">
        <f t="shared" si="2"/>
        <v>0</v>
      </c>
      <c r="J27" s="21" t="e">
        <f t="shared" ref="J27:J32" si="5">+D27-F27-H27+I27</f>
        <v>#N/A</v>
      </c>
      <c r="K27" s="45"/>
      <c r="L27" s="68" t="e">
        <f t="shared" si="0"/>
        <v>#N/A</v>
      </c>
      <c r="M27" s="42"/>
      <c r="N27" s="54"/>
      <c r="O27" s="54"/>
      <c r="P27" s="25"/>
      <c r="Q27" s="25"/>
    </row>
    <row r="28" spans="1:20" x14ac:dyDescent="0.25">
      <c r="A28" s="69">
        <v>44435</v>
      </c>
      <c r="B28" s="59"/>
      <c r="C28" s="59"/>
      <c r="D28" s="21">
        <f>+Ventas!D30</f>
        <v>0</v>
      </c>
      <c r="E28" s="21">
        <f t="shared" si="4"/>
        <v>0</v>
      </c>
      <c r="F28" s="21">
        <f>+Transbank!B30</f>
        <v>0</v>
      </c>
      <c r="G28" s="21">
        <f>+Cuadratura!$K$35</f>
        <v>0</v>
      </c>
      <c r="H28" s="21" t="e">
        <f>VLOOKUP(A28,Resumen!$G$3:$H$54,2,0)</f>
        <v>#N/A</v>
      </c>
      <c r="I28" s="21">
        <f t="shared" si="2"/>
        <v>0</v>
      </c>
      <c r="J28" s="21" t="e">
        <f t="shared" si="5"/>
        <v>#N/A</v>
      </c>
      <c r="K28" s="129"/>
      <c r="L28" s="68" t="e">
        <f t="shared" si="0"/>
        <v>#N/A</v>
      </c>
      <c r="M28" s="51"/>
      <c r="N28" s="79"/>
      <c r="O28" s="54"/>
      <c r="P28" s="25"/>
      <c r="Q28" s="25"/>
    </row>
    <row r="29" spans="1:20" x14ac:dyDescent="0.25">
      <c r="A29" s="69">
        <v>44436</v>
      </c>
      <c r="B29" s="59"/>
      <c r="C29" s="59"/>
      <c r="D29" s="21">
        <f>+Ventas!D31</f>
        <v>0</v>
      </c>
      <c r="E29" s="21">
        <f t="shared" si="4"/>
        <v>0</v>
      </c>
      <c r="F29" s="21">
        <f>+Transbank!B31</f>
        <v>0</v>
      </c>
      <c r="G29" s="21">
        <f>+Cuadratura!$K$35</f>
        <v>0</v>
      </c>
      <c r="H29" s="21" t="e">
        <f>VLOOKUP(A29,Resumen!$G$3:$H$54,2,0)</f>
        <v>#N/A</v>
      </c>
      <c r="I29" s="21">
        <f t="shared" si="2"/>
        <v>0</v>
      </c>
      <c r="J29" s="21" t="e">
        <f t="shared" si="5"/>
        <v>#N/A</v>
      </c>
      <c r="K29" s="45"/>
      <c r="L29" s="68" t="e">
        <f t="shared" si="0"/>
        <v>#N/A</v>
      </c>
      <c r="M29" s="42"/>
      <c r="N29" s="54"/>
      <c r="O29" s="55"/>
      <c r="P29" s="25"/>
      <c r="Q29" s="25"/>
    </row>
    <row r="30" spans="1:20" x14ac:dyDescent="0.25">
      <c r="A30" s="69">
        <v>44437</v>
      </c>
      <c r="B30" s="59"/>
      <c r="C30" s="59"/>
      <c r="D30" s="21">
        <f>+Ventas!D32</f>
        <v>0</v>
      </c>
      <c r="E30" s="21">
        <f t="shared" si="4"/>
        <v>0</v>
      </c>
      <c r="F30" s="21">
        <f>+Transbank!B32</f>
        <v>0</v>
      </c>
      <c r="G30" s="21">
        <f>+Cuadratura!$K$35</f>
        <v>0</v>
      </c>
      <c r="H30" s="21" t="e">
        <f>VLOOKUP(A30,Resumen!$G$3:$H$54,2,0)</f>
        <v>#N/A</v>
      </c>
      <c r="I30" s="21">
        <f t="shared" si="2"/>
        <v>0</v>
      </c>
      <c r="J30" s="21" t="e">
        <f t="shared" si="5"/>
        <v>#N/A</v>
      </c>
      <c r="K30" s="45"/>
      <c r="L30" s="68" t="e">
        <f t="shared" si="0"/>
        <v>#N/A</v>
      </c>
      <c r="M30" s="82"/>
    </row>
    <row r="31" spans="1:20" x14ac:dyDescent="0.25">
      <c r="A31" s="69">
        <v>44438</v>
      </c>
      <c r="B31" s="59"/>
      <c r="C31" s="59"/>
      <c r="D31" s="21">
        <f>+Ventas!D33</f>
        <v>0</v>
      </c>
      <c r="E31" s="21">
        <f t="shared" si="4"/>
        <v>0</v>
      </c>
      <c r="F31" s="21">
        <f>+Transbank!B33</f>
        <v>0</v>
      </c>
      <c r="G31" s="21">
        <f>+Cuadratura!$K$35</f>
        <v>0</v>
      </c>
      <c r="H31" s="21" t="e">
        <f>VLOOKUP(A31,Resumen!$G$3:$H$54,2,0)</f>
        <v>#N/A</v>
      </c>
      <c r="I31" s="21">
        <f t="shared" si="2"/>
        <v>0</v>
      </c>
      <c r="J31" s="21" t="e">
        <f t="shared" si="5"/>
        <v>#N/A</v>
      </c>
      <c r="K31" s="45"/>
      <c r="L31" s="68" t="e">
        <f t="shared" si="0"/>
        <v>#N/A</v>
      </c>
      <c r="M31" s="82"/>
    </row>
    <row r="32" spans="1:20" x14ac:dyDescent="0.25">
      <c r="A32" s="69">
        <v>44439</v>
      </c>
      <c r="B32" s="59"/>
      <c r="C32" s="59"/>
      <c r="D32" s="21">
        <f>+Ventas!D34</f>
        <v>0</v>
      </c>
      <c r="E32" s="21">
        <f t="shared" si="4"/>
        <v>0</v>
      </c>
      <c r="F32" s="21">
        <f>+Transbank!B34</f>
        <v>0</v>
      </c>
      <c r="G32" s="21">
        <f>+Cuadratura!$K$35</f>
        <v>0</v>
      </c>
      <c r="H32" s="21" t="e">
        <f>VLOOKUP(A32,Resumen!$G$3:$H$54,2,0)</f>
        <v>#N/A</v>
      </c>
      <c r="I32" s="21">
        <f t="shared" si="2"/>
        <v>0</v>
      </c>
      <c r="J32" s="21" t="e">
        <f t="shared" si="5"/>
        <v>#N/A</v>
      </c>
      <c r="K32" s="45"/>
      <c r="L32" s="68" t="e">
        <f t="shared" si="0"/>
        <v>#N/A</v>
      </c>
      <c r="M32" s="82"/>
    </row>
    <row r="33" spans="4:13" x14ac:dyDescent="0.25">
      <c r="D33" s="21"/>
      <c r="I33" s="21"/>
      <c r="J33" s="21"/>
      <c r="K33" s="108"/>
      <c r="M33" s="76"/>
    </row>
    <row r="34" spans="4:13" x14ac:dyDescent="0.25">
      <c r="D34" s="77"/>
      <c r="I34" s="21"/>
      <c r="M34" s="142"/>
    </row>
    <row r="35" spans="4:13" x14ac:dyDescent="0.25">
      <c r="M35" s="76"/>
    </row>
    <row r="37" spans="4:13" x14ac:dyDescent="0.25">
      <c r="M37" s="76"/>
    </row>
    <row r="38" spans="4:13" x14ac:dyDescent="0.25">
      <c r="M38" s="76"/>
    </row>
    <row r="39" spans="4:13" x14ac:dyDescent="0.25">
      <c r="M39" s="76"/>
    </row>
    <row r="40" spans="4:13" x14ac:dyDescent="0.25">
      <c r="M40" s="76"/>
    </row>
  </sheetData>
  <phoneticPr fontId="4" type="noConversion"/>
  <conditionalFormatting sqref="L2:L32">
    <cfRule type="cellIs" dxfId="29" priority="1" stopIfTrue="1" operator="greaterThanOrEqual">
      <formula>0</formula>
    </cfRule>
    <cfRule type="cellIs" dxfId="28" priority="2" stopIfTrue="1" operator="lessThan">
      <formula>0</formula>
    </cfRule>
  </conditionalFormatting>
  <pageMargins left="0" right="0" top="0.98425196850393704" bottom="0.98425196850393704" header="0" footer="0"/>
  <pageSetup scale="13" orientation="landscape" horizontalDpi="180" verticalDpi="18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selection activeCell="H41" sqref="H41"/>
    </sheetView>
  </sheetViews>
  <sheetFormatPr baseColWidth="10" defaultColWidth="11.453125" defaultRowHeight="12.5" x14ac:dyDescent="0.25"/>
  <sheetData>
    <row r="1" spans="1:8" x14ac:dyDescent="0.25">
      <c r="A1" s="10"/>
      <c r="B1" s="10"/>
    </row>
    <row r="2" spans="1:8" x14ac:dyDescent="0.25">
      <c r="A2" s="10"/>
      <c r="B2" s="10"/>
      <c r="D2">
        <v>20000</v>
      </c>
      <c r="F2">
        <f>D2*E2</f>
        <v>0</v>
      </c>
    </row>
    <row r="3" spans="1:8" x14ac:dyDescent="0.25">
      <c r="A3" s="10"/>
      <c r="B3" s="10"/>
      <c r="D3">
        <v>10000</v>
      </c>
      <c r="F3">
        <f t="shared" ref="F3:F12" si="0">D3*E3</f>
        <v>0</v>
      </c>
    </row>
    <row r="4" spans="1:8" x14ac:dyDescent="0.25">
      <c r="A4" s="10"/>
      <c r="B4" s="10"/>
      <c r="D4">
        <v>5000</v>
      </c>
      <c r="F4">
        <f t="shared" si="0"/>
        <v>0</v>
      </c>
    </row>
    <row r="5" spans="1:8" x14ac:dyDescent="0.25">
      <c r="A5" s="10"/>
      <c r="B5" s="10"/>
      <c r="D5">
        <v>2000</v>
      </c>
      <c r="F5">
        <f t="shared" si="0"/>
        <v>0</v>
      </c>
    </row>
    <row r="6" spans="1:8" x14ac:dyDescent="0.25">
      <c r="A6" s="10"/>
      <c r="B6" s="10"/>
      <c r="D6">
        <v>1000</v>
      </c>
      <c r="F6">
        <f t="shared" si="0"/>
        <v>0</v>
      </c>
    </row>
    <row r="7" spans="1:8" x14ac:dyDescent="0.25">
      <c r="A7" s="10"/>
      <c r="B7" s="10"/>
      <c r="D7">
        <v>500</v>
      </c>
      <c r="F7">
        <f t="shared" si="0"/>
        <v>0</v>
      </c>
    </row>
    <row r="8" spans="1:8" x14ac:dyDescent="0.25">
      <c r="A8" s="10"/>
      <c r="B8" s="10"/>
      <c r="D8">
        <v>100</v>
      </c>
      <c r="F8">
        <f t="shared" si="0"/>
        <v>0</v>
      </c>
    </row>
    <row r="9" spans="1:8" x14ac:dyDescent="0.25">
      <c r="A9" s="10"/>
      <c r="B9" s="10"/>
      <c r="D9">
        <v>50</v>
      </c>
      <c r="F9">
        <f t="shared" si="0"/>
        <v>0</v>
      </c>
    </row>
    <row r="10" spans="1:8" x14ac:dyDescent="0.25">
      <c r="A10" s="10"/>
      <c r="B10" s="10"/>
      <c r="D10">
        <v>10</v>
      </c>
      <c r="F10">
        <f t="shared" si="0"/>
        <v>0</v>
      </c>
      <c r="H10">
        <v>2083</v>
      </c>
    </row>
    <row r="11" spans="1:8" x14ac:dyDescent="0.25">
      <c r="A11" s="10"/>
      <c r="B11" s="10"/>
      <c r="D11">
        <v>5</v>
      </c>
      <c r="F11">
        <f t="shared" si="0"/>
        <v>0</v>
      </c>
      <c r="H11">
        <v>1845</v>
      </c>
    </row>
    <row r="12" spans="1:8" x14ac:dyDescent="0.25">
      <c r="A12" s="10"/>
      <c r="B12" s="10"/>
      <c r="D12">
        <v>1</v>
      </c>
      <c r="F12">
        <f t="shared" si="0"/>
        <v>0</v>
      </c>
    </row>
    <row r="13" spans="1:8" x14ac:dyDescent="0.25">
      <c r="A13" s="10"/>
      <c r="B13" s="10"/>
    </row>
    <row r="14" spans="1:8" x14ac:dyDescent="0.25">
      <c r="A14" s="10"/>
      <c r="B14" s="10"/>
    </row>
    <row r="15" spans="1:8" x14ac:dyDescent="0.25">
      <c r="A15" s="10"/>
      <c r="B15" s="10"/>
    </row>
    <row r="16" spans="1:8" x14ac:dyDescent="0.25">
      <c r="A16" s="10"/>
      <c r="B16" s="10"/>
    </row>
    <row r="17" spans="1:2" x14ac:dyDescent="0.25">
      <c r="A17" s="10"/>
      <c r="B17" s="10"/>
    </row>
    <row r="18" spans="1:2" x14ac:dyDescent="0.25">
      <c r="A18" s="10"/>
      <c r="B18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06BA-82D2-4AB1-9B5E-7B4A86CE54AF}">
  <dimension ref="A2:N37"/>
  <sheetViews>
    <sheetView zoomScale="98" zoomScaleNormal="98" workbookViewId="0">
      <selection activeCell="J31" sqref="J31"/>
    </sheetView>
  </sheetViews>
  <sheetFormatPr baseColWidth="10" defaultRowHeight="12.5" x14ac:dyDescent="0.25"/>
  <cols>
    <col min="6" max="6" width="24" customWidth="1"/>
  </cols>
  <sheetData>
    <row r="2" spans="1:14" x14ac:dyDescent="0.25">
      <c r="A2" s="10"/>
      <c r="B2" s="10" t="s">
        <v>34</v>
      </c>
      <c r="C2" s="10"/>
      <c r="D2" s="10"/>
      <c r="E2" s="10"/>
      <c r="F2" s="10"/>
      <c r="G2" s="10"/>
      <c r="I2" t="s">
        <v>35</v>
      </c>
    </row>
    <row r="3" spans="1:14" x14ac:dyDescent="0.25">
      <c r="A3" s="10"/>
      <c r="B3" s="10"/>
      <c r="C3" s="10"/>
      <c r="D3" s="10"/>
      <c r="E3" s="10"/>
      <c r="F3" s="10"/>
      <c r="G3" s="10"/>
    </row>
    <row r="4" spans="1:14" x14ac:dyDescent="0.25">
      <c r="A4" s="10"/>
      <c r="B4" s="144" t="s">
        <v>45</v>
      </c>
      <c r="C4" s="145"/>
      <c r="D4" s="87" t="s">
        <v>33</v>
      </c>
      <c r="E4" s="111" t="s">
        <v>46</v>
      </c>
      <c r="F4" s="111" t="s">
        <v>44</v>
      </c>
      <c r="G4" s="87" t="s">
        <v>52</v>
      </c>
      <c r="H4" s="100" t="s">
        <v>59</v>
      </c>
    </row>
    <row r="5" spans="1:14" x14ac:dyDescent="0.25">
      <c r="A5" s="10"/>
      <c r="B5" s="87"/>
      <c r="C5" s="87"/>
      <c r="D5" s="87"/>
      <c r="E5" s="87"/>
      <c r="F5" s="87"/>
      <c r="G5" s="87"/>
      <c r="H5" s="100"/>
      <c r="I5" t="s">
        <v>47</v>
      </c>
      <c r="J5" t="s">
        <v>48</v>
      </c>
      <c r="K5" t="s">
        <v>49</v>
      </c>
      <c r="L5" t="s">
        <v>50</v>
      </c>
      <c r="M5" t="s">
        <v>51</v>
      </c>
    </row>
    <row r="6" spans="1:14" x14ac:dyDescent="0.25">
      <c r="A6" s="125">
        <v>44044</v>
      </c>
      <c r="B6" s="32"/>
      <c r="C6" s="32"/>
      <c r="D6" s="32"/>
      <c r="E6" s="32"/>
      <c r="F6" s="83"/>
      <c r="G6" s="83"/>
      <c r="H6" s="136"/>
      <c r="I6">
        <v>12</v>
      </c>
      <c r="J6">
        <v>20</v>
      </c>
      <c r="K6">
        <f>J6-I6</f>
        <v>8</v>
      </c>
      <c r="L6">
        <f>K6*2000</f>
        <v>16000</v>
      </c>
      <c r="M6">
        <f>450000/30</f>
        <v>15000</v>
      </c>
      <c r="N6">
        <f>L6*24</f>
        <v>384000</v>
      </c>
    </row>
    <row r="7" spans="1:14" x14ac:dyDescent="0.25">
      <c r="A7" s="125">
        <v>44045</v>
      </c>
      <c r="B7" s="32"/>
      <c r="C7" s="83"/>
      <c r="D7" s="83"/>
      <c r="E7" s="32"/>
      <c r="F7" s="83"/>
      <c r="G7" s="83"/>
      <c r="H7" s="136"/>
    </row>
    <row r="8" spans="1:14" x14ac:dyDescent="0.25">
      <c r="A8" s="125">
        <v>44046</v>
      </c>
      <c r="B8" s="32"/>
      <c r="C8" s="32"/>
      <c r="D8" s="83"/>
      <c r="E8" s="32"/>
      <c r="F8" s="83"/>
      <c r="G8" s="83"/>
      <c r="H8" s="136"/>
    </row>
    <row r="9" spans="1:14" x14ac:dyDescent="0.25">
      <c r="A9" s="125">
        <v>44047</v>
      </c>
      <c r="B9" s="32"/>
      <c r="C9" s="32"/>
      <c r="D9" s="32"/>
      <c r="E9" s="83"/>
      <c r="F9" s="83"/>
      <c r="G9" s="83"/>
      <c r="H9" s="136"/>
    </row>
    <row r="10" spans="1:14" x14ac:dyDescent="0.25">
      <c r="A10" s="125">
        <v>44048</v>
      </c>
      <c r="B10" s="32" t="s">
        <v>56</v>
      </c>
      <c r="C10" s="32"/>
      <c r="D10" s="32"/>
      <c r="E10" s="83"/>
      <c r="F10" s="83"/>
      <c r="G10" s="83"/>
      <c r="H10" s="136"/>
    </row>
    <row r="11" spans="1:14" x14ac:dyDescent="0.25">
      <c r="A11" s="125">
        <v>44049</v>
      </c>
      <c r="B11" s="32"/>
      <c r="C11" s="32"/>
      <c r="D11" s="83"/>
      <c r="E11" s="83"/>
      <c r="F11" s="32"/>
      <c r="G11" s="32"/>
      <c r="H11" s="136"/>
    </row>
    <row r="12" spans="1:14" x14ac:dyDescent="0.25">
      <c r="A12" s="125">
        <v>44050</v>
      </c>
      <c r="B12" s="126"/>
      <c r="C12" s="126"/>
      <c r="D12" s="126"/>
      <c r="E12" s="126"/>
      <c r="F12" s="126"/>
      <c r="G12" s="126"/>
      <c r="H12" s="136"/>
    </row>
    <row r="13" spans="1:14" x14ac:dyDescent="0.25">
      <c r="A13" s="125">
        <v>44051</v>
      </c>
      <c r="B13" s="32"/>
      <c r="C13" s="32"/>
      <c r="D13" s="83"/>
      <c r="E13" s="32"/>
      <c r="F13" s="83"/>
      <c r="G13" s="32"/>
      <c r="H13" s="136"/>
    </row>
    <row r="14" spans="1:14" x14ac:dyDescent="0.25">
      <c r="A14" s="125">
        <v>44052</v>
      </c>
      <c r="B14" s="32"/>
      <c r="C14" s="32"/>
      <c r="D14" s="83"/>
      <c r="E14" s="32"/>
      <c r="F14" s="83"/>
      <c r="G14" s="32"/>
      <c r="H14" s="136"/>
      <c r="J14" t="s">
        <v>58</v>
      </c>
    </row>
    <row r="15" spans="1:14" x14ac:dyDescent="0.25">
      <c r="A15" s="125">
        <v>44053</v>
      </c>
      <c r="B15" s="32"/>
      <c r="C15" s="32"/>
      <c r="D15" s="83"/>
      <c r="E15" s="32"/>
      <c r="F15" s="83"/>
      <c r="G15" s="32"/>
      <c r="H15" s="136"/>
    </row>
    <row r="16" spans="1:14" x14ac:dyDescent="0.25">
      <c r="A16" s="125">
        <v>44054</v>
      </c>
      <c r="B16" s="32"/>
      <c r="C16" s="32"/>
      <c r="D16" s="32"/>
      <c r="E16" s="83"/>
      <c r="F16" s="83"/>
      <c r="G16" s="32"/>
      <c r="H16" s="136"/>
    </row>
    <row r="17" spans="1:9" x14ac:dyDescent="0.25">
      <c r="A17" s="125">
        <v>44055</v>
      </c>
      <c r="B17" s="32"/>
      <c r="C17" s="32"/>
      <c r="D17" s="32"/>
      <c r="E17" s="83"/>
      <c r="F17" s="83"/>
      <c r="G17" s="32"/>
      <c r="H17" s="136"/>
    </row>
    <row r="18" spans="1:9" x14ac:dyDescent="0.25">
      <c r="A18" s="125">
        <v>44056</v>
      </c>
      <c r="B18" s="32"/>
      <c r="C18" s="32"/>
      <c r="D18" s="32"/>
      <c r="E18" s="32"/>
      <c r="F18" s="32"/>
      <c r="G18" s="91"/>
      <c r="H18" s="136"/>
    </row>
    <row r="19" spans="1:9" x14ac:dyDescent="0.25">
      <c r="A19" s="125">
        <v>44057</v>
      </c>
      <c r="B19" s="32"/>
      <c r="C19" s="32"/>
      <c r="D19" s="32"/>
      <c r="E19" s="32"/>
      <c r="F19" s="32"/>
      <c r="G19" s="32"/>
      <c r="H19" s="136"/>
      <c r="I19" s="84"/>
    </row>
    <row r="20" spans="1:9" x14ac:dyDescent="0.25">
      <c r="A20" s="125">
        <v>44058</v>
      </c>
      <c r="B20" s="32"/>
      <c r="C20" s="32"/>
      <c r="D20" s="32"/>
      <c r="E20" s="83"/>
      <c r="F20" s="83"/>
      <c r="G20" s="32"/>
      <c r="H20" s="136"/>
    </row>
    <row r="21" spans="1:9" x14ac:dyDescent="0.25">
      <c r="A21" s="125">
        <v>44059</v>
      </c>
      <c r="B21" s="32"/>
      <c r="C21" s="32"/>
      <c r="D21" s="32"/>
      <c r="E21" s="83"/>
      <c r="F21" s="83"/>
      <c r="G21" s="83"/>
      <c r="H21" s="136"/>
    </row>
    <row r="22" spans="1:9" x14ac:dyDescent="0.25">
      <c r="A22" s="125">
        <v>44060</v>
      </c>
      <c r="B22" s="32"/>
      <c r="C22" s="32"/>
      <c r="D22" s="83"/>
      <c r="E22" s="32"/>
      <c r="F22" s="83"/>
      <c r="G22" s="112"/>
      <c r="H22" s="136"/>
    </row>
    <row r="23" spans="1:9" x14ac:dyDescent="0.25">
      <c r="A23" s="125">
        <v>44061</v>
      </c>
      <c r="B23" s="32"/>
      <c r="C23" s="32"/>
      <c r="D23" s="83"/>
      <c r="E23" s="32"/>
      <c r="F23" s="83"/>
      <c r="G23" s="32"/>
      <c r="H23" s="136">
        <v>10</v>
      </c>
    </row>
    <row r="24" spans="1:9" x14ac:dyDescent="0.25">
      <c r="A24" s="125">
        <v>44062</v>
      </c>
      <c r="B24" s="32"/>
      <c r="C24" s="32"/>
      <c r="D24" s="32" t="s">
        <v>63</v>
      </c>
      <c r="E24" s="32" t="s">
        <v>57</v>
      </c>
      <c r="F24" s="83"/>
      <c r="G24" s="32"/>
      <c r="H24" s="136" t="s">
        <v>62</v>
      </c>
    </row>
    <row r="25" spans="1:9" x14ac:dyDescent="0.25">
      <c r="A25" s="125">
        <v>44063</v>
      </c>
      <c r="B25" s="32" t="s">
        <v>57</v>
      </c>
      <c r="C25" s="32"/>
      <c r="D25" s="32"/>
      <c r="E25" s="32"/>
      <c r="F25" s="32"/>
      <c r="G25" s="32"/>
      <c r="H25" s="136" t="s">
        <v>61</v>
      </c>
    </row>
    <row r="26" spans="1:9" x14ac:dyDescent="0.25">
      <c r="A26" s="125">
        <v>44064</v>
      </c>
      <c r="B26" s="32" t="s">
        <v>57</v>
      </c>
      <c r="C26" s="32"/>
      <c r="D26" s="32"/>
      <c r="E26" s="32" t="s">
        <v>57</v>
      </c>
      <c r="F26" s="32"/>
      <c r="G26" s="91"/>
      <c r="H26" s="136" t="s">
        <v>60</v>
      </c>
    </row>
    <row r="27" spans="1:9" x14ac:dyDescent="0.25">
      <c r="A27" s="125">
        <v>44065</v>
      </c>
      <c r="B27" s="32"/>
      <c r="C27" s="32"/>
      <c r="D27" s="32"/>
      <c r="E27" s="32" t="s">
        <v>57</v>
      </c>
      <c r="F27" s="32"/>
      <c r="G27" s="32"/>
      <c r="H27" s="136" t="s">
        <v>64</v>
      </c>
    </row>
    <row r="28" spans="1:9" x14ac:dyDescent="0.25">
      <c r="A28" s="125">
        <v>44066</v>
      </c>
      <c r="B28" s="32"/>
      <c r="C28" s="32"/>
      <c r="D28" s="32"/>
      <c r="E28" s="32"/>
      <c r="F28" s="32"/>
      <c r="G28" s="32"/>
      <c r="H28" s="136" t="s">
        <v>66</v>
      </c>
    </row>
    <row r="29" spans="1:9" x14ac:dyDescent="0.25">
      <c r="A29" s="125">
        <v>44067</v>
      </c>
      <c r="B29" s="32"/>
      <c r="C29" s="32"/>
      <c r="D29" s="32"/>
      <c r="E29" s="32"/>
      <c r="F29" s="32"/>
      <c r="G29" s="32"/>
      <c r="H29" s="136" t="s">
        <v>65</v>
      </c>
    </row>
    <row r="30" spans="1:9" x14ac:dyDescent="0.25">
      <c r="A30" s="125">
        <v>44068</v>
      </c>
      <c r="B30" s="86"/>
      <c r="C30" s="86"/>
      <c r="D30" s="32"/>
      <c r="E30" s="32"/>
      <c r="F30" s="32"/>
      <c r="G30" s="32"/>
      <c r="H30" s="136" t="s">
        <v>65</v>
      </c>
    </row>
    <row r="31" spans="1:9" x14ac:dyDescent="0.25">
      <c r="A31" s="125">
        <v>44069</v>
      </c>
      <c r="B31" s="91"/>
      <c r="C31" s="91"/>
      <c r="D31" s="32"/>
      <c r="E31" s="32"/>
      <c r="F31" s="32"/>
      <c r="G31" s="32"/>
      <c r="H31" s="136">
        <v>8</v>
      </c>
    </row>
    <row r="32" spans="1:9" x14ac:dyDescent="0.25">
      <c r="A32" s="125">
        <v>44070</v>
      </c>
      <c r="B32" s="32"/>
      <c r="C32" s="32"/>
      <c r="D32" s="32"/>
      <c r="E32" s="32"/>
      <c r="F32" s="83"/>
      <c r="G32" s="32"/>
      <c r="H32" s="136">
        <v>0</v>
      </c>
    </row>
    <row r="33" spans="1:8" x14ac:dyDescent="0.25">
      <c r="A33" s="125">
        <v>44071</v>
      </c>
      <c r="B33" s="32"/>
      <c r="C33" s="32"/>
      <c r="D33" s="32"/>
      <c r="E33" s="32" t="s">
        <v>67</v>
      </c>
      <c r="F33" s="32"/>
      <c r="G33" s="32"/>
      <c r="H33" s="136">
        <v>15</v>
      </c>
    </row>
    <row r="34" spans="1:8" x14ac:dyDescent="0.25">
      <c r="A34" s="125">
        <v>44072</v>
      </c>
      <c r="B34" s="32"/>
      <c r="C34" s="32"/>
      <c r="D34" s="32"/>
      <c r="E34" s="32"/>
      <c r="F34" s="32"/>
      <c r="G34" s="32"/>
      <c r="H34" s="136"/>
    </row>
    <row r="35" spans="1:8" x14ac:dyDescent="0.25">
      <c r="A35" s="125">
        <v>44073</v>
      </c>
      <c r="B35" s="32"/>
      <c r="C35" s="32"/>
      <c r="D35" s="32"/>
      <c r="E35" s="32"/>
      <c r="F35" s="32"/>
      <c r="G35" s="32"/>
      <c r="H35" s="136"/>
    </row>
    <row r="36" spans="1:8" x14ac:dyDescent="0.25">
      <c r="A36" s="125">
        <v>44074</v>
      </c>
      <c r="B36" s="32"/>
      <c r="C36" s="32"/>
      <c r="D36" s="32"/>
      <c r="E36" s="32"/>
      <c r="F36" s="32"/>
      <c r="G36" s="109"/>
      <c r="H36" s="136"/>
    </row>
    <row r="37" spans="1:8" x14ac:dyDescent="0.25">
      <c r="A37" s="32"/>
      <c r="B37" s="32"/>
      <c r="C37" s="32"/>
      <c r="D37" s="32"/>
      <c r="E37" s="32"/>
      <c r="F37" s="32"/>
      <c r="G37" s="32"/>
      <c r="H37" s="136"/>
    </row>
  </sheetData>
  <mergeCells count="1">
    <mergeCell ref="B4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9"/>
  <sheetViews>
    <sheetView zoomScale="90" zoomScaleNormal="90" workbookViewId="0">
      <pane ySplit="3" topLeftCell="A21" activePane="bottomLeft" state="frozen"/>
      <selection activeCell="L1" sqref="L1"/>
      <selection pane="bottomLeft" activeCell="H8" sqref="H8"/>
    </sheetView>
  </sheetViews>
  <sheetFormatPr baseColWidth="10" defaultColWidth="11.453125" defaultRowHeight="12.5" x14ac:dyDescent="0.25"/>
  <cols>
    <col min="1" max="1" width="16.54296875" bestFit="1" customWidth="1"/>
    <col min="2" max="2" width="5.81640625" style="38" bestFit="1" customWidth="1"/>
    <col min="3" max="3" width="3.453125" customWidth="1"/>
    <col min="4" max="4" width="16.54296875" bestFit="1" customWidth="1"/>
    <col min="5" max="5" width="5.81640625" style="9" bestFit="1" customWidth="1"/>
    <col min="6" max="6" width="2.54296875" customWidth="1"/>
    <col min="7" max="7" width="16.54296875" bestFit="1" customWidth="1"/>
    <col min="8" max="8" width="5.81640625" style="9" bestFit="1" customWidth="1"/>
    <col min="9" max="9" width="2.453125" customWidth="1"/>
    <col min="10" max="10" width="16.54296875" bestFit="1" customWidth="1"/>
    <col min="11" max="11" width="5.81640625" style="9" bestFit="1" customWidth="1"/>
  </cols>
  <sheetData>
    <row r="1" spans="1:12" ht="15.5" x14ac:dyDescent="0.35">
      <c r="A1" s="147" t="s">
        <v>13</v>
      </c>
      <c r="B1" s="147"/>
      <c r="C1" s="1"/>
      <c r="D1" s="148" t="s">
        <v>14</v>
      </c>
      <c r="E1" s="148"/>
      <c r="F1" s="1"/>
      <c r="G1" s="149" t="s">
        <v>15</v>
      </c>
      <c r="H1" s="149"/>
      <c r="I1" s="1"/>
      <c r="J1" s="146" t="s">
        <v>16</v>
      </c>
      <c r="K1" s="146"/>
      <c r="L1" t="s">
        <v>1</v>
      </c>
    </row>
    <row r="2" spans="1:12" ht="15.5" x14ac:dyDescent="0.35">
      <c r="A2" s="35"/>
      <c r="B2" s="37"/>
      <c r="D2" s="35"/>
      <c r="E2" s="36"/>
      <c r="G2" s="35"/>
      <c r="H2" s="36"/>
      <c r="J2" s="35"/>
      <c r="K2" s="36"/>
    </row>
    <row r="3" spans="1:12" ht="15.5" x14ac:dyDescent="0.35">
      <c r="A3" s="113" t="s">
        <v>17</v>
      </c>
      <c r="B3" s="122"/>
      <c r="D3" s="113" t="s">
        <v>17</v>
      </c>
      <c r="E3" s="114"/>
      <c r="G3" s="113" t="s">
        <v>17</v>
      </c>
      <c r="H3" s="114"/>
      <c r="J3" s="113" t="s">
        <v>17</v>
      </c>
      <c r="K3" s="114"/>
    </row>
    <row r="4" spans="1:12" ht="15.5" x14ac:dyDescent="0.35">
      <c r="A4" s="113" t="s">
        <v>2</v>
      </c>
      <c r="B4" s="115" t="s">
        <v>18</v>
      </c>
      <c r="D4" s="113" t="s">
        <v>2</v>
      </c>
      <c r="E4" s="115" t="s">
        <v>18</v>
      </c>
      <c r="G4" s="113" t="s">
        <v>2</v>
      </c>
      <c r="H4" s="115" t="s">
        <v>18</v>
      </c>
      <c r="J4" s="113" t="s">
        <v>2</v>
      </c>
      <c r="K4" s="115" t="s">
        <v>18</v>
      </c>
    </row>
    <row r="5" spans="1:12" ht="15.5" x14ac:dyDescent="0.35">
      <c r="A5" s="116">
        <v>44409</v>
      </c>
      <c r="B5" s="122"/>
      <c r="D5" s="116">
        <v>44409</v>
      </c>
      <c r="E5" s="114">
        <v>0</v>
      </c>
      <c r="G5" s="119" t="s">
        <v>19</v>
      </c>
      <c r="H5" s="120"/>
      <c r="J5" s="116">
        <v>44409</v>
      </c>
      <c r="K5" s="114">
        <v>0</v>
      </c>
    </row>
    <row r="6" spans="1:12" ht="15.5" x14ac:dyDescent="0.35">
      <c r="A6" s="117">
        <v>44410</v>
      </c>
      <c r="B6" s="123"/>
      <c r="D6" s="117">
        <v>44410</v>
      </c>
      <c r="E6" s="118">
        <v>0</v>
      </c>
      <c r="H6"/>
      <c r="J6" s="117">
        <v>44410</v>
      </c>
      <c r="K6" s="118">
        <v>0</v>
      </c>
    </row>
    <row r="7" spans="1:12" ht="15.5" x14ac:dyDescent="0.35">
      <c r="A7" s="117">
        <v>44411</v>
      </c>
      <c r="B7" s="123"/>
      <c r="D7" s="117">
        <v>44411</v>
      </c>
      <c r="E7" s="118">
        <v>0</v>
      </c>
      <c r="H7"/>
      <c r="J7" s="117">
        <v>44411</v>
      </c>
      <c r="K7" s="118">
        <v>0</v>
      </c>
    </row>
    <row r="8" spans="1:12" ht="15.5" x14ac:dyDescent="0.35">
      <c r="A8" s="117">
        <v>44412</v>
      </c>
      <c r="B8" s="123"/>
      <c r="D8" s="117">
        <v>44412</v>
      </c>
      <c r="E8" s="118">
        <v>0</v>
      </c>
      <c r="H8"/>
      <c r="J8" s="117">
        <v>44412</v>
      </c>
      <c r="K8" s="118">
        <v>0</v>
      </c>
    </row>
    <row r="9" spans="1:12" ht="15.5" x14ac:dyDescent="0.35">
      <c r="A9" s="117">
        <v>44413</v>
      </c>
      <c r="B9" s="123"/>
      <c r="D9" s="117">
        <v>44413</v>
      </c>
      <c r="E9" s="118">
        <v>0</v>
      </c>
      <c r="H9"/>
      <c r="J9" s="117">
        <v>44413</v>
      </c>
      <c r="K9" s="118">
        <v>0</v>
      </c>
    </row>
    <row r="10" spans="1:12" ht="15.5" x14ac:dyDescent="0.35">
      <c r="A10" s="117">
        <v>44414</v>
      </c>
      <c r="B10" s="123"/>
      <c r="D10" s="117">
        <v>44414</v>
      </c>
      <c r="E10" s="118">
        <v>0</v>
      </c>
      <c r="H10"/>
      <c r="J10" s="117">
        <v>44414</v>
      </c>
      <c r="K10" s="118">
        <v>0</v>
      </c>
    </row>
    <row r="11" spans="1:12" ht="15.5" x14ac:dyDescent="0.35">
      <c r="A11" s="117">
        <v>44415</v>
      </c>
      <c r="B11" s="123"/>
      <c r="D11" s="117">
        <v>44415</v>
      </c>
      <c r="E11" s="118">
        <v>0</v>
      </c>
      <c r="H11"/>
      <c r="J11" s="117">
        <v>44415</v>
      </c>
      <c r="K11" s="118">
        <v>0</v>
      </c>
    </row>
    <row r="12" spans="1:12" ht="15.5" x14ac:dyDescent="0.35">
      <c r="A12" s="117">
        <v>44416</v>
      </c>
      <c r="B12" s="123"/>
      <c r="D12" s="117">
        <v>44416</v>
      </c>
      <c r="E12" s="118">
        <v>0</v>
      </c>
      <c r="H12"/>
      <c r="J12" s="117">
        <v>44416</v>
      </c>
      <c r="K12" s="118">
        <v>0</v>
      </c>
    </row>
    <row r="13" spans="1:12" ht="15.5" x14ac:dyDescent="0.35">
      <c r="A13" s="117">
        <v>44417</v>
      </c>
      <c r="B13" s="123"/>
      <c r="D13" s="117">
        <v>44417</v>
      </c>
      <c r="E13" s="118">
        <v>0</v>
      </c>
      <c r="H13"/>
      <c r="J13" s="117">
        <v>44417</v>
      </c>
      <c r="K13" s="118">
        <v>0</v>
      </c>
    </row>
    <row r="14" spans="1:12" ht="15.5" x14ac:dyDescent="0.35">
      <c r="A14" s="117">
        <v>44418</v>
      </c>
      <c r="B14" s="123"/>
      <c r="D14" s="117">
        <v>44418</v>
      </c>
      <c r="E14" s="118">
        <v>0</v>
      </c>
      <c r="H14"/>
      <c r="J14" s="117">
        <v>44418</v>
      </c>
      <c r="K14" s="118">
        <v>0</v>
      </c>
    </row>
    <row r="15" spans="1:12" ht="15.5" x14ac:dyDescent="0.35">
      <c r="A15" s="117">
        <v>44419</v>
      </c>
      <c r="B15" s="123"/>
      <c r="D15" s="117">
        <v>44419</v>
      </c>
      <c r="E15" s="118">
        <v>0</v>
      </c>
      <c r="H15"/>
      <c r="J15" s="117">
        <v>44419</v>
      </c>
      <c r="K15" s="118">
        <v>0</v>
      </c>
    </row>
    <row r="16" spans="1:12" ht="15.5" x14ac:dyDescent="0.35">
      <c r="A16" s="117">
        <v>44420</v>
      </c>
      <c r="B16" s="123"/>
      <c r="D16" s="117">
        <v>44420</v>
      </c>
      <c r="E16" s="118">
        <v>0</v>
      </c>
      <c r="H16"/>
      <c r="J16" s="117">
        <v>44420</v>
      </c>
      <c r="K16" s="118">
        <v>0</v>
      </c>
    </row>
    <row r="17" spans="1:11" ht="15.5" x14ac:dyDescent="0.35">
      <c r="A17" s="117">
        <v>44421</v>
      </c>
      <c r="B17" s="123"/>
      <c r="D17" s="117">
        <v>44421</v>
      </c>
      <c r="E17" s="118">
        <v>0</v>
      </c>
      <c r="H17"/>
      <c r="J17" s="117">
        <v>44421</v>
      </c>
      <c r="K17" s="118">
        <v>0</v>
      </c>
    </row>
    <row r="18" spans="1:11" ht="15.5" x14ac:dyDescent="0.35">
      <c r="A18" s="117">
        <v>44422</v>
      </c>
      <c r="B18" s="123"/>
      <c r="D18" s="117">
        <v>44422</v>
      </c>
      <c r="E18" s="118">
        <v>0</v>
      </c>
      <c r="H18"/>
      <c r="J18" s="117">
        <v>44422</v>
      </c>
      <c r="K18" s="118">
        <v>0</v>
      </c>
    </row>
    <row r="19" spans="1:11" ht="15.5" x14ac:dyDescent="0.35">
      <c r="A19" s="117">
        <v>44423</v>
      </c>
      <c r="B19" s="123"/>
      <c r="D19" s="117">
        <v>44423</v>
      </c>
      <c r="E19" s="118">
        <v>0</v>
      </c>
      <c r="H19"/>
      <c r="J19" s="117">
        <v>44423</v>
      </c>
      <c r="K19" s="118">
        <v>0</v>
      </c>
    </row>
    <row r="20" spans="1:11" ht="15.5" x14ac:dyDescent="0.35">
      <c r="A20" s="117">
        <v>44424</v>
      </c>
      <c r="B20" s="123"/>
      <c r="D20" s="117">
        <v>44424</v>
      </c>
      <c r="E20" s="118">
        <v>0</v>
      </c>
      <c r="H20"/>
      <c r="J20" s="117">
        <v>44424</v>
      </c>
      <c r="K20" s="118">
        <v>0</v>
      </c>
    </row>
    <row r="21" spans="1:11" ht="15.5" x14ac:dyDescent="0.35">
      <c r="A21" s="117">
        <v>44425</v>
      </c>
      <c r="B21" s="123"/>
      <c r="D21" s="117">
        <v>44425</v>
      </c>
      <c r="E21" s="118">
        <v>0</v>
      </c>
      <c r="H21"/>
      <c r="J21" s="117">
        <v>44425</v>
      </c>
      <c r="K21" s="118">
        <v>0</v>
      </c>
    </row>
    <row r="22" spans="1:11" ht="15.5" x14ac:dyDescent="0.35">
      <c r="A22" s="117">
        <v>44426</v>
      </c>
      <c r="B22" s="123"/>
      <c r="D22" s="117">
        <v>44426</v>
      </c>
      <c r="E22" s="118">
        <v>0</v>
      </c>
      <c r="H22"/>
      <c r="J22" s="117">
        <v>44426</v>
      </c>
      <c r="K22" s="118">
        <v>0</v>
      </c>
    </row>
    <row r="23" spans="1:11" ht="15.5" x14ac:dyDescent="0.35">
      <c r="A23" s="117">
        <v>44427</v>
      </c>
      <c r="B23" s="123"/>
      <c r="D23" s="117">
        <v>44427</v>
      </c>
      <c r="E23" s="118">
        <v>0</v>
      </c>
      <c r="H23"/>
      <c r="J23" s="117">
        <v>44427</v>
      </c>
      <c r="K23" s="118">
        <v>0</v>
      </c>
    </row>
    <row r="24" spans="1:11" ht="15.5" x14ac:dyDescent="0.35">
      <c r="A24" s="117">
        <v>44428</v>
      </c>
      <c r="B24" s="123"/>
      <c r="D24" s="117">
        <v>44428</v>
      </c>
      <c r="E24" s="118">
        <v>0</v>
      </c>
      <c r="H24"/>
      <c r="J24" s="117">
        <v>44428</v>
      </c>
      <c r="K24" s="118">
        <v>0</v>
      </c>
    </row>
    <row r="25" spans="1:11" ht="15.5" x14ac:dyDescent="0.35">
      <c r="A25" s="117">
        <v>44429</v>
      </c>
      <c r="B25" s="123"/>
      <c r="D25" s="117">
        <v>44429</v>
      </c>
      <c r="E25" s="118">
        <v>0</v>
      </c>
      <c r="H25"/>
      <c r="J25" s="117">
        <v>44429</v>
      </c>
      <c r="K25" s="118">
        <v>0</v>
      </c>
    </row>
    <row r="26" spans="1:11" ht="15.5" x14ac:dyDescent="0.35">
      <c r="A26" s="117">
        <v>44430</v>
      </c>
      <c r="B26" s="123"/>
      <c r="D26" s="117">
        <v>44430</v>
      </c>
      <c r="E26" s="118">
        <v>0</v>
      </c>
      <c r="H26"/>
      <c r="J26" s="117">
        <v>44430</v>
      </c>
      <c r="K26" s="118">
        <v>0</v>
      </c>
    </row>
    <row r="27" spans="1:11" ht="15.5" x14ac:dyDescent="0.35">
      <c r="A27" s="117">
        <v>44431</v>
      </c>
      <c r="B27" s="123"/>
      <c r="D27" s="117">
        <v>44431</v>
      </c>
      <c r="E27" s="118">
        <v>0</v>
      </c>
      <c r="H27"/>
      <c r="J27" s="117">
        <v>44431</v>
      </c>
      <c r="K27" s="118">
        <v>0</v>
      </c>
    </row>
    <row r="28" spans="1:11" ht="15.5" x14ac:dyDescent="0.35">
      <c r="A28" s="117">
        <v>44432</v>
      </c>
      <c r="B28" s="123"/>
      <c r="D28" s="117">
        <v>44432</v>
      </c>
      <c r="E28" s="118">
        <v>0</v>
      </c>
      <c r="H28"/>
      <c r="J28" s="117">
        <v>44432</v>
      </c>
      <c r="K28" s="118">
        <v>0</v>
      </c>
    </row>
    <row r="29" spans="1:11" ht="15.5" x14ac:dyDescent="0.35">
      <c r="A29" s="117">
        <v>44433</v>
      </c>
      <c r="B29" s="123"/>
      <c r="D29" s="117">
        <v>44433</v>
      </c>
      <c r="E29" s="118">
        <v>0</v>
      </c>
      <c r="H29"/>
      <c r="J29" s="117">
        <v>44433</v>
      </c>
      <c r="K29" s="118">
        <v>0</v>
      </c>
    </row>
    <row r="30" spans="1:11" ht="15.5" x14ac:dyDescent="0.35">
      <c r="A30" s="117">
        <v>44434</v>
      </c>
      <c r="B30" s="123"/>
      <c r="D30" s="117">
        <v>44434</v>
      </c>
      <c r="E30" s="118">
        <v>0</v>
      </c>
      <c r="H30"/>
      <c r="J30" s="117">
        <v>44434</v>
      </c>
      <c r="K30" s="118">
        <v>0</v>
      </c>
    </row>
    <row r="31" spans="1:11" ht="15.5" x14ac:dyDescent="0.35">
      <c r="A31" s="117">
        <v>44435</v>
      </c>
      <c r="B31" s="123"/>
      <c r="D31" s="117">
        <v>44435</v>
      </c>
      <c r="E31" s="118">
        <v>0</v>
      </c>
      <c r="H31"/>
      <c r="J31" s="117">
        <v>44435</v>
      </c>
      <c r="K31" s="118">
        <v>0</v>
      </c>
    </row>
    <row r="32" spans="1:11" ht="15.5" x14ac:dyDescent="0.35">
      <c r="A32" s="117">
        <v>44436</v>
      </c>
      <c r="B32" s="123"/>
      <c r="D32" s="117">
        <v>44436</v>
      </c>
      <c r="E32" s="118">
        <v>0</v>
      </c>
      <c r="H32"/>
      <c r="J32" s="117">
        <v>44436</v>
      </c>
      <c r="K32" s="118">
        <v>0</v>
      </c>
    </row>
    <row r="33" spans="1:11" ht="15.5" x14ac:dyDescent="0.35">
      <c r="A33" s="117">
        <v>44437</v>
      </c>
      <c r="B33" s="123"/>
      <c r="D33" s="117">
        <v>44437</v>
      </c>
      <c r="E33" s="118">
        <v>0</v>
      </c>
      <c r="H33"/>
      <c r="J33" s="117">
        <v>44437</v>
      </c>
      <c r="K33" s="118">
        <v>0</v>
      </c>
    </row>
    <row r="34" spans="1:11" ht="15.5" x14ac:dyDescent="0.35">
      <c r="A34" s="117">
        <v>44438</v>
      </c>
      <c r="B34" s="123"/>
      <c r="D34" s="117">
        <v>44438</v>
      </c>
      <c r="E34" s="118">
        <v>0</v>
      </c>
      <c r="H34"/>
      <c r="J34" s="117">
        <v>44438</v>
      </c>
      <c r="K34" s="118">
        <v>0</v>
      </c>
    </row>
    <row r="35" spans="1:11" ht="15.5" x14ac:dyDescent="0.35">
      <c r="A35" s="117">
        <v>44439</v>
      </c>
      <c r="B35" s="123"/>
      <c r="D35" s="117">
        <v>44439</v>
      </c>
      <c r="E35" s="118"/>
      <c r="H35"/>
      <c r="J35" s="117">
        <v>44439</v>
      </c>
      <c r="K35" s="118">
        <v>0</v>
      </c>
    </row>
    <row r="36" spans="1:11" ht="15.5" x14ac:dyDescent="0.35">
      <c r="A36" s="121" t="s">
        <v>19</v>
      </c>
      <c r="B36" s="124"/>
      <c r="D36" s="121" t="s">
        <v>19</v>
      </c>
      <c r="E36" s="120">
        <v>0</v>
      </c>
      <c r="H36"/>
      <c r="J36" s="119" t="s">
        <v>19</v>
      </c>
      <c r="K36" s="120">
        <v>0</v>
      </c>
    </row>
    <row r="37" spans="1:11" ht="15.5" x14ac:dyDescent="0.35">
      <c r="B37"/>
      <c r="E37"/>
      <c r="H37"/>
      <c r="K37"/>
    </row>
    <row r="38" spans="1:11" x14ac:dyDescent="0.25">
      <c r="H38"/>
      <c r="K38"/>
    </row>
    <row r="39" spans="1:11" x14ac:dyDescent="0.25">
      <c r="H39"/>
      <c r="K39"/>
    </row>
    <row r="40" spans="1:11" x14ac:dyDescent="0.25">
      <c r="H40"/>
      <c r="K40"/>
    </row>
    <row r="41" spans="1:11" x14ac:dyDescent="0.25">
      <c r="H41"/>
      <c r="K41"/>
    </row>
    <row r="42" spans="1:11" x14ac:dyDescent="0.25">
      <c r="H42"/>
      <c r="K42"/>
    </row>
    <row r="43" spans="1:11" x14ac:dyDescent="0.25">
      <c r="H43"/>
      <c r="K43"/>
    </row>
    <row r="44" spans="1:11" x14ac:dyDescent="0.25">
      <c r="H44"/>
      <c r="K44"/>
    </row>
    <row r="45" spans="1:11" x14ac:dyDescent="0.25">
      <c r="H45"/>
      <c r="K45"/>
    </row>
    <row r="46" spans="1:11" x14ac:dyDescent="0.25">
      <c r="H46"/>
      <c r="K46"/>
    </row>
    <row r="47" spans="1:11" x14ac:dyDescent="0.25">
      <c r="H47"/>
      <c r="K47"/>
    </row>
    <row r="48" spans="1:11" x14ac:dyDescent="0.25">
      <c r="H48"/>
      <c r="K48"/>
    </row>
    <row r="49" spans="8:11" x14ac:dyDescent="0.25">
      <c r="H49"/>
      <c r="K49"/>
    </row>
    <row r="50" spans="8:11" x14ac:dyDescent="0.25">
      <c r="H50"/>
      <c r="K50"/>
    </row>
    <row r="51" spans="8:11" x14ac:dyDescent="0.25">
      <c r="H51"/>
      <c r="K51"/>
    </row>
    <row r="52" spans="8:11" x14ac:dyDescent="0.25">
      <c r="H52"/>
      <c r="K52"/>
    </row>
    <row r="53" spans="8:11" x14ac:dyDescent="0.25">
      <c r="H53"/>
      <c r="K53"/>
    </row>
    <row r="54" spans="8:11" x14ac:dyDescent="0.25">
      <c r="H54"/>
      <c r="K54"/>
    </row>
    <row r="55" spans="8:11" x14ac:dyDescent="0.25">
      <c r="H55"/>
      <c r="K55"/>
    </row>
    <row r="56" spans="8:11" x14ac:dyDescent="0.25">
      <c r="H56"/>
      <c r="K56"/>
    </row>
    <row r="57" spans="8:11" x14ac:dyDescent="0.25">
      <c r="H57"/>
      <c r="K57"/>
    </row>
    <row r="58" spans="8:11" x14ac:dyDescent="0.25">
      <c r="H58"/>
      <c r="K58"/>
    </row>
    <row r="59" spans="8:11" x14ac:dyDescent="0.25">
      <c r="H59"/>
      <c r="K59"/>
    </row>
    <row r="60" spans="8:11" x14ac:dyDescent="0.25">
      <c r="H60"/>
      <c r="K60"/>
    </row>
    <row r="61" spans="8:11" x14ac:dyDescent="0.25">
      <c r="H61"/>
      <c r="K61"/>
    </row>
    <row r="62" spans="8:11" x14ac:dyDescent="0.25">
      <c r="H62"/>
      <c r="K62"/>
    </row>
    <row r="63" spans="8:11" x14ac:dyDescent="0.25">
      <c r="H63"/>
      <c r="K63"/>
    </row>
    <row r="64" spans="8:11" x14ac:dyDescent="0.25">
      <c r="H64"/>
      <c r="K64"/>
    </row>
    <row r="65" spans="8:11" x14ac:dyDescent="0.25">
      <c r="H65"/>
      <c r="K65"/>
    </row>
    <row r="66" spans="8:11" x14ac:dyDescent="0.25">
      <c r="H66"/>
      <c r="K66"/>
    </row>
    <row r="67" spans="8:11" x14ac:dyDescent="0.25">
      <c r="H67"/>
      <c r="K67"/>
    </row>
    <row r="68" spans="8:11" x14ac:dyDescent="0.25">
      <c r="H68"/>
      <c r="K68"/>
    </row>
    <row r="69" spans="8:11" x14ac:dyDescent="0.25">
      <c r="H69"/>
      <c r="K69"/>
    </row>
    <row r="70" spans="8:11" x14ac:dyDescent="0.25">
      <c r="H70"/>
      <c r="K70"/>
    </row>
    <row r="71" spans="8:11" x14ac:dyDescent="0.25">
      <c r="H71"/>
      <c r="K71"/>
    </row>
    <row r="72" spans="8:11" x14ac:dyDescent="0.25">
      <c r="H72"/>
      <c r="K72"/>
    </row>
    <row r="73" spans="8:11" x14ac:dyDescent="0.25">
      <c r="H73"/>
      <c r="K73"/>
    </row>
    <row r="74" spans="8:11" x14ac:dyDescent="0.25">
      <c r="H74"/>
      <c r="K74"/>
    </row>
    <row r="75" spans="8:11" x14ac:dyDescent="0.25">
      <c r="H75"/>
    </row>
    <row r="76" spans="8:11" x14ac:dyDescent="0.25">
      <c r="H76"/>
    </row>
    <row r="77" spans="8:11" x14ac:dyDescent="0.25">
      <c r="H77"/>
    </row>
    <row r="78" spans="8:11" x14ac:dyDescent="0.25">
      <c r="H78"/>
    </row>
    <row r="79" spans="8:11" x14ac:dyDescent="0.25">
      <c r="H79"/>
    </row>
    <row r="80" spans="8:11" x14ac:dyDescent="0.25">
      <c r="H80"/>
    </row>
    <row r="81" spans="8:8" x14ac:dyDescent="0.25">
      <c r="H81"/>
    </row>
    <row r="82" spans="8:8" x14ac:dyDescent="0.25">
      <c r="H82"/>
    </row>
    <row r="83" spans="8:8" x14ac:dyDescent="0.25">
      <c r="H83"/>
    </row>
    <row r="84" spans="8:8" x14ac:dyDescent="0.25">
      <c r="H84"/>
    </row>
    <row r="85" spans="8:8" x14ac:dyDescent="0.25">
      <c r="H85"/>
    </row>
    <row r="86" spans="8:8" x14ac:dyDescent="0.25">
      <c r="H86"/>
    </row>
    <row r="87" spans="8:8" x14ac:dyDescent="0.25">
      <c r="H87"/>
    </row>
    <row r="88" spans="8:8" x14ac:dyDescent="0.25">
      <c r="H88"/>
    </row>
    <row r="89" spans="8:8" x14ac:dyDescent="0.25">
      <c r="H89"/>
    </row>
    <row r="90" spans="8:8" x14ac:dyDescent="0.25">
      <c r="H90"/>
    </row>
    <row r="91" spans="8:8" x14ac:dyDescent="0.25">
      <c r="H91"/>
    </row>
    <row r="92" spans="8:8" x14ac:dyDescent="0.25">
      <c r="H92"/>
    </row>
    <row r="93" spans="8:8" x14ac:dyDescent="0.25">
      <c r="H93"/>
    </row>
    <row r="94" spans="8:8" x14ac:dyDescent="0.25">
      <c r="H94"/>
    </row>
    <row r="95" spans="8:8" x14ac:dyDescent="0.25">
      <c r="H95"/>
    </row>
    <row r="96" spans="8:8" x14ac:dyDescent="0.25">
      <c r="H96"/>
    </row>
    <row r="97" spans="8:8" x14ac:dyDescent="0.25">
      <c r="H97"/>
    </row>
    <row r="98" spans="8:8" x14ac:dyDescent="0.25">
      <c r="H98"/>
    </row>
    <row r="99" spans="8:8" x14ac:dyDescent="0.25">
      <c r="H99"/>
    </row>
    <row r="100" spans="8:8" x14ac:dyDescent="0.25">
      <c r="H100"/>
    </row>
    <row r="101" spans="8:8" x14ac:dyDescent="0.25">
      <c r="H101"/>
    </row>
    <row r="102" spans="8:8" x14ac:dyDescent="0.25">
      <c r="H102"/>
    </row>
    <row r="103" spans="8:8" x14ac:dyDescent="0.25">
      <c r="H103"/>
    </row>
    <row r="104" spans="8:8" x14ac:dyDescent="0.25">
      <c r="H104"/>
    </row>
    <row r="105" spans="8:8" x14ac:dyDescent="0.25">
      <c r="H105"/>
    </row>
    <row r="106" spans="8:8" x14ac:dyDescent="0.25">
      <c r="H106"/>
    </row>
    <row r="107" spans="8:8" x14ac:dyDescent="0.25">
      <c r="H107"/>
    </row>
    <row r="108" spans="8:8" x14ac:dyDescent="0.25">
      <c r="H108"/>
    </row>
    <row r="109" spans="8:8" x14ac:dyDescent="0.25">
      <c r="H109"/>
    </row>
    <row r="110" spans="8:8" x14ac:dyDescent="0.25">
      <c r="H110"/>
    </row>
    <row r="111" spans="8:8" x14ac:dyDescent="0.25">
      <c r="H111"/>
    </row>
    <row r="112" spans="8:8" x14ac:dyDescent="0.25">
      <c r="H112"/>
    </row>
    <row r="113" spans="8:8" x14ac:dyDescent="0.25">
      <c r="H113"/>
    </row>
    <row r="114" spans="8:8" x14ac:dyDescent="0.25">
      <c r="H114"/>
    </row>
    <row r="115" spans="8:8" x14ac:dyDescent="0.25">
      <c r="H115"/>
    </row>
    <row r="116" spans="8:8" x14ac:dyDescent="0.25">
      <c r="H116"/>
    </row>
    <row r="117" spans="8:8" x14ac:dyDescent="0.25">
      <c r="H117"/>
    </row>
    <row r="118" spans="8:8" x14ac:dyDescent="0.25">
      <c r="H118"/>
    </row>
    <row r="119" spans="8:8" x14ac:dyDescent="0.25">
      <c r="H119"/>
    </row>
    <row r="120" spans="8:8" x14ac:dyDescent="0.25">
      <c r="H120"/>
    </row>
    <row r="121" spans="8:8" x14ac:dyDescent="0.25">
      <c r="H121"/>
    </row>
    <row r="122" spans="8:8" x14ac:dyDescent="0.25">
      <c r="H122"/>
    </row>
    <row r="123" spans="8:8" x14ac:dyDescent="0.25">
      <c r="H123"/>
    </row>
    <row r="124" spans="8:8" x14ac:dyDescent="0.25">
      <c r="H124"/>
    </row>
    <row r="125" spans="8:8" x14ac:dyDescent="0.25">
      <c r="H125"/>
    </row>
    <row r="126" spans="8:8" x14ac:dyDescent="0.25">
      <c r="H126"/>
    </row>
    <row r="127" spans="8:8" x14ac:dyDescent="0.25">
      <c r="H127"/>
    </row>
    <row r="128" spans="8:8" x14ac:dyDescent="0.25">
      <c r="H128"/>
    </row>
    <row r="129" spans="8:8" x14ac:dyDescent="0.25">
      <c r="H129"/>
    </row>
    <row r="130" spans="8:8" x14ac:dyDescent="0.25">
      <c r="H130"/>
    </row>
    <row r="131" spans="8:8" x14ac:dyDescent="0.25">
      <c r="H131"/>
    </row>
    <row r="132" spans="8:8" x14ac:dyDescent="0.25">
      <c r="H132"/>
    </row>
    <row r="133" spans="8:8" x14ac:dyDescent="0.25">
      <c r="H133"/>
    </row>
    <row r="134" spans="8:8" x14ac:dyDescent="0.25">
      <c r="H134"/>
    </row>
    <row r="135" spans="8:8" x14ac:dyDescent="0.25">
      <c r="H135"/>
    </row>
    <row r="136" spans="8:8" x14ac:dyDescent="0.25">
      <c r="H136"/>
    </row>
    <row r="137" spans="8:8" x14ac:dyDescent="0.25">
      <c r="H137"/>
    </row>
    <row r="138" spans="8:8" x14ac:dyDescent="0.25">
      <c r="H138"/>
    </row>
    <row r="139" spans="8:8" x14ac:dyDescent="0.25">
      <c r="H139"/>
    </row>
    <row r="140" spans="8:8" x14ac:dyDescent="0.25">
      <c r="H140"/>
    </row>
    <row r="141" spans="8:8" x14ac:dyDescent="0.25">
      <c r="H141"/>
    </row>
    <row r="142" spans="8:8" x14ac:dyDescent="0.25">
      <c r="H142"/>
    </row>
    <row r="143" spans="8:8" x14ac:dyDescent="0.25">
      <c r="H143"/>
    </row>
    <row r="144" spans="8:8" x14ac:dyDescent="0.25">
      <c r="H144"/>
    </row>
    <row r="145" spans="8:8" x14ac:dyDescent="0.25">
      <c r="H145"/>
    </row>
    <row r="146" spans="8:8" x14ac:dyDescent="0.25">
      <c r="H146"/>
    </row>
    <row r="147" spans="8:8" x14ac:dyDescent="0.25">
      <c r="H147"/>
    </row>
    <row r="148" spans="8:8" x14ac:dyDescent="0.25">
      <c r="H148"/>
    </row>
    <row r="149" spans="8:8" x14ac:dyDescent="0.25">
      <c r="H149"/>
    </row>
    <row r="150" spans="8:8" x14ac:dyDescent="0.25">
      <c r="H150"/>
    </row>
    <row r="151" spans="8:8" x14ac:dyDescent="0.25">
      <c r="H151"/>
    </row>
    <row r="152" spans="8:8" x14ac:dyDescent="0.25">
      <c r="H152"/>
    </row>
    <row r="153" spans="8:8" x14ac:dyDescent="0.25">
      <c r="H153"/>
    </row>
    <row r="154" spans="8:8" x14ac:dyDescent="0.25">
      <c r="H154"/>
    </row>
    <row r="155" spans="8:8" x14ac:dyDescent="0.25">
      <c r="H155"/>
    </row>
    <row r="156" spans="8:8" x14ac:dyDescent="0.25">
      <c r="H156"/>
    </row>
    <row r="157" spans="8:8" x14ac:dyDescent="0.25">
      <c r="H157"/>
    </row>
    <row r="158" spans="8:8" x14ac:dyDescent="0.25">
      <c r="H158"/>
    </row>
    <row r="159" spans="8:8" x14ac:dyDescent="0.25">
      <c r="H159"/>
    </row>
    <row r="160" spans="8:8" x14ac:dyDescent="0.25">
      <c r="H160"/>
    </row>
    <row r="161" spans="8:8" x14ac:dyDescent="0.25">
      <c r="H161"/>
    </row>
    <row r="162" spans="8:8" x14ac:dyDescent="0.25">
      <c r="H162"/>
    </row>
    <row r="163" spans="8:8" x14ac:dyDescent="0.25">
      <c r="H163"/>
    </row>
    <row r="164" spans="8:8" x14ac:dyDescent="0.25">
      <c r="H164"/>
    </row>
    <row r="165" spans="8:8" x14ac:dyDescent="0.25">
      <c r="H165"/>
    </row>
    <row r="166" spans="8:8" x14ac:dyDescent="0.25">
      <c r="H166"/>
    </row>
    <row r="167" spans="8:8" x14ac:dyDescent="0.25">
      <c r="H167"/>
    </row>
    <row r="168" spans="8:8" x14ac:dyDescent="0.25">
      <c r="H168"/>
    </row>
    <row r="169" spans="8:8" x14ac:dyDescent="0.25">
      <c r="H169"/>
    </row>
    <row r="170" spans="8:8" x14ac:dyDescent="0.25">
      <c r="H170"/>
    </row>
    <row r="171" spans="8:8" x14ac:dyDescent="0.25">
      <c r="H171"/>
    </row>
    <row r="172" spans="8:8" x14ac:dyDescent="0.25">
      <c r="H172"/>
    </row>
    <row r="173" spans="8:8" x14ac:dyDescent="0.25">
      <c r="H173"/>
    </row>
    <row r="174" spans="8:8" x14ac:dyDescent="0.25">
      <c r="H174"/>
    </row>
    <row r="175" spans="8:8" x14ac:dyDescent="0.25">
      <c r="H175"/>
    </row>
    <row r="176" spans="8:8" x14ac:dyDescent="0.25">
      <c r="H176"/>
    </row>
    <row r="177" spans="8:8" x14ac:dyDescent="0.25">
      <c r="H177"/>
    </row>
    <row r="178" spans="8:8" x14ac:dyDescent="0.25">
      <c r="H178"/>
    </row>
    <row r="179" spans="8:8" x14ac:dyDescent="0.25">
      <c r="H179"/>
    </row>
    <row r="180" spans="8:8" x14ac:dyDescent="0.25">
      <c r="H180"/>
    </row>
    <row r="181" spans="8:8" x14ac:dyDescent="0.25">
      <c r="H181"/>
    </row>
    <row r="182" spans="8:8" x14ac:dyDescent="0.25">
      <c r="H182"/>
    </row>
    <row r="183" spans="8:8" x14ac:dyDescent="0.25">
      <c r="H183"/>
    </row>
    <row r="184" spans="8:8" x14ac:dyDescent="0.25">
      <c r="H184"/>
    </row>
    <row r="185" spans="8:8" x14ac:dyDescent="0.25">
      <c r="H185"/>
    </row>
    <row r="186" spans="8:8" x14ac:dyDescent="0.25">
      <c r="H186"/>
    </row>
    <row r="187" spans="8:8" x14ac:dyDescent="0.25">
      <c r="H187"/>
    </row>
    <row r="188" spans="8:8" x14ac:dyDescent="0.25">
      <c r="H188"/>
    </row>
    <row r="189" spans="8:8" x14ac:dyDescent="0.25">
      <c r="H189"/>
    </row>
    <row r="190" spans="8:8" x14ac:dyDescent="0.25">
      <c r="H190"/>
    </row>
    <row r="191" spans="8:8" x14ac:dyDescent="0.25">
      <c r="H191"/>
    </row>
    <row r="192" spans="8:8" x14ac:dyDescent="0.25">
      <c r="H192"/>
    </row>
    <row r="193" spans="8:8" x14ac:dyDescent="0.25">
      <c r="H193"/>
    </row>
    <row r="194" spans="8:8" x14ac:dyDescent="0.25">
      <c r="H194"/>
    </row>
    <row r="195" spans="8:8" x14ac:dyDescent="0.25">
      <c r="H195"/>
    </row>
    <row r="196" spans="8:8" x14ac:dyDescent="0.25">
      <c r="H196"/>
    </row>
    <row r="197" spans="8:8" x14ac:dyDescent="0.25">
      <c r="H197"/>
    </row>
    <row r="198" spans="8:8" x14ac:dyDescent="0.25">
      <c r="H198"/>
    </row>
    <row r="199" spans="8:8" x14ac:dyDescent="0.25">
      <c r="H199"/>
    </row>
    <row r="200" spans="8:8" x14ac:dyDescent="0.25">
      <c r="H200"/>
    </row>
    <row r="201" spans="8:8" x14ac:dyDescent="0.25">
      <c r="H201"/>
    </row>
    <row r="202" spans="8:8" x14ac:dyDescent="0.25">
      <c r="H202"/>
    </row>
    <row r="203" spans="8:8" x14ac:dyDescent="0.25">
      <c r="H203"/>
    </row>
    <row r="204" spans="8:8" x14ac:dyDescent="0.25">
      <c r="H204"/>
    </row>
    <row r="205" spans="8:8" x14ac:dyDescent="0.25">
      <c r="H205"/>
    </row>
    <row r="206" spans="8:8" x14ac:dyDescent="0.25">
      <c r="H206"/>
    </row>
    <row r="207" spans="8:8" x14ac:dyDescent="0.25">
      <c r="H207"/>
    </row>
    <row r="208" spans="8:8" x14ac:dyDescent="0.25">
      <c r="H208"/>
    </row>
    <row r="209" spans="8:8" x14ac:dyDescent="0.25">
      <c r="H209"/>
    </row>
  </sheetData>
  <mergeCells count="4">
    <mergeCell ref="J1:K1"/>
    <mergeCell ref="A1:B1"/>
    <mergeCell ref="D1:E1"/>
    <mergeCell ref="G1:H1"/>
  </mergeCells>
  <phoneticPr fontId="4" type="noConversion"/>
  <pageMargins left="0.75" right="0.75" top="1" bottom="1" header="0" footer="0"/>
  <pageSetup orientation="portrait" r:id="rId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A5E8-96C3-4F19-9E3E-D4714729FBBD}">
  <dimension ref="B2:E37"/>
  <sheetViews>
    <sheetView workbookViewId="0">
      <selection activeCell="H21" sqref="H21"/>
    </sheetView>
  </sheetViews>
  <sheetFormatPr baseColWidth="10" defaultRowHeight="12.5" x14ac:dyDescent="0.25"/>
  <cols>
    <col min="2" max="2" width="17.54296875" customWidth="1"/>
    <col min="3" max="4" width="12.81640625" bestFit="1" customWidth="1"/>
    <col min="5" max="5" width="29.453125" bestFit="1" customWidth="1"/>
  </cols>
  <sheetData>
    <row r="2" spans="2:5" x14ac:dyDescent="0.25">
      <c r="D2" s="150" t="s">
        <v>39</v>
      </c>
      <c r="E2" s="150"/>
    </row>
    <row r="3" spans="2:5" ht="26" x14ac:dyDescent="0.25">
      <c r="B3" s="10"/>
      <c r="C3" s="102" t="s">
        <v>38</v>
      </c>
      <c r="D3" s="102" t="s">
        <v>40</v>
      </c>
      <c r="E3" s="102" t="s">
        <v>41</v>
      </c>
    </row>
    <row r="4" spans="2:5" x14ac:dyDescent="0.25">
      <c r="B4" s="85">
        <v>43831</v>
      </c>
      <c r="C4" s="105"/>
      <c r="D4" s="105"/>
      <c r="E4" s="10"/>
    </row>
    <row r="5" spans="2:5" x14ac:dyDescent="0.25">
      <c r="B5" s="85">
        <v>43832</v>
      </c>
      <c r="C5" s="105"/>
      <c r="D5" s="105"/>
      <c r="E5" s="10"/>
    </row>
    <row r="6" spans="2:5" x14ac:dyDescent="0.25">
      <c r="B6" s="85">
        <v>43833</v>
      </c>
      <c r="C6" s="105"/>
      <c r="D6" s="105"/>
      <c r="E6" s="10"/>
    </row>
    <row r="7" spans="2:5" x14ac:dyDescent="0.25">
      <c r="B7" s="85">
        <v>43834</v>
      </c>
      <c r="C7" s="105"/>
      <c r="D7" s="105"/>
      <c r="E7" s="10"/>
    </row>
    <row r="8" spans="2:5" x14ac:dyDescent="0.25">
      <c r="B8" s="85">
        <v>43835</v>
      </c>
      <c r="C8" s="105"/>
      <c r="D8" s="105"/>
      <c r="E8" s="10"/>
    </row>
    <row r="9" spans="2:5" x14ac:dyDescent="0.25">
      <c r="B9" s="85">
        <v>43836</v>
      </c>
      <c r="C9" s="105"/>
      <c r="D9" s="105"/>
      <c r="E9" s="10"/>
    </row>
    <row r="10" spans="2:5" x14ac:dyDescent="0.25">
      <c r="B10" s="85">
        <v>43837</v>
      </c>
      <c r="C10" s="105"/>
      <c r="D10" s="105"/>
      <c r="E10" s="10"/>
    </row>
    <row r="11" spans="2:5" x14ac:dyDescent="0.25">
      <c r="B11" s="85">
        <v>43838</v>
      </c>
      <c r="C11" s="105"/>
      <c r="D11" s="105"/>
      <c r="E11" s="10"/>
    </row>
    <row r="12" spans="2:5" x14ac:dyDescent="0.25">
      <c r="B12" s="85">
        <v>43839</v>
      </c>
      <c r="C12" s="105"/>
      <c r="D12" s="105"/>
      <c r="E12" s="10"/>
    </row>
    <row r="13" spans="2:5" x14ac:dyDescent="0.25">
      <c r="B13" s="85">
        <v>43840</v>
      </c>
      <c r="C13" s="105"/>
      <c r="D13" s="105"/>
      <c r="E13" s="10"/>
    </row>
    <row r="14" spans="2:5" x14ac:dyDescent="0.25">
      <c r="B14" s="85">
        <v>43841</v>
      </c>
      <c r="C14" s="105"/>
      <c r="D14" s="105"/>
      <c r="E14" s="10"/>
    </row>
    <row r="15" spans="2:5" x14ac:dyDescent="0.25">
      <c r="B15" s="101">
        <v>43842</v>
      </c>
      <c r="C15" s="106"/>
      <c r="D15" s="106"/>
      <c r="E15" s="100"/>
    </row>
    <row r="16" spans="2:5" x14ac:dyDescent="0.25">
      <c r="B16" s="85">
        <v>43843</v>
      </c>
      <c r="C16" s="105"/>
      <c r="D16" s="105"/>
      <c r="E16" s="10"/>
    </row>
    <row r="17" spans="2:5" x14ac:dyDescent="0.25">
      <c r="B17" s="85">
        <v>43844</v>
      </c>
      <c r="C17" s="105"/>
      <c r="D17" s="105"/>
      <c r="E17" s="10"/>
    </row>
    <row r="18" spans="2:5" x14ac:dyDescent="0.25">
      <c r="B18" s="85">
        <v>43845</v>
      </c>
      <c r="C18" s="105"/>
      <c r="D18" s="105"/>
      <c r="E18" s="10"/>
    </row>
    <row r="19" spans="2:5" x14ac:dyDescent="0.25">
      <c r="B19" s="85">
        <v>43846</v>
      </c>
      <c r="C19" s="105"/>
      <c r="D19" s="105"/>
      <c r="E19" s="44"/>
    </row>
    <row r="20" spans="2:5" x14ac:dyDescent="0.25">
      <c r="B20" s="85">
        <v>43847</v>
      </c>
      <c r="C20" s="105"/>
      <c r="D20" s="105"/>
      <c r="E20" s="10"/>
    </row>
    <row r="21" spans="2:5" x14ac:dyDescent="0.25">
      <c r="B21" s="85">
        <v>43848</v>
      </c>
      <c r="C21" s="105"/>
      <c r="D21" s="105"/>
      <c r="E21" s="10"/>
    </row>
    <row r="22" spans="2:5" x14ac:dyDescent="0.25">
      <c r="B22" s="85">
        <v>43849</v>
      </c>
      <c r="C22" s="105"/>
      <c r="D22" s="105"/>
      <c r="E22" s="10"/>
    </row>
    <row r="23" spans="2:5" x14ac:dyDescent="0.25">
      <c r="B23" s="85">
        <v>43850</v>
      </c>
      <c r="C23" s="105"/>
      <c r="D23" s="105"/>
      <c r="E23" s="10"/>
    </row>
    <row r="24" spans="2:5" x14ac:dyDescent="0.25">
      <c r="B24" s="85">
        <v>43851</v>
      </c>
      <c r="C24" s="105"/>
      <c r="D24" s="105"/>
      <c r="E24" s="10"/>
    </row>
    <row r="25" spans="2:5" x14ac:dyDescent="0.25">
      <c r="B25" s="85">
        <v>43852</v>
      </c>
      <c r="C25" s="105"/>
      <c r="D25" s="105"/>
      <c r="E25" s="10"/>
    </row>
    <row r="26" spans="2:5" x14ac:dyDescent="0.25">
      <c r="B26" s="85">
        <v>43853</v>
      </c>
      <c r="C26" s="105"/>
      <c r="D26" s="105"/>
      <c r="E26" s="10"/>
    </row>
    <row r="27" spans="2:5" x14ac:dyDescent="0.25">
      <c r="B27" s="85">
        <v>43854</v>
      </c>
      <c r="C27" s="105"/>
      <c r="D27" s="105"/>
      <c r="E27" s="10"/>
    </row>
    <row r="28" spans="2:5" x14ac:dyDescent="0.25">
      <c r="B28" s="85">
        <v>43855</v>
      </c>
      <c r="C28" s="105"/>
      <c r="D28" s="105"/>
      <c r="E28" s="10"/>
    </row>
    <row r="29" spans="2:5" x14ac:dyDescent="0.25">
      <c r="B29" s="85">
        <v>43856</v>
      </c>
      <c r="C29" s="105"/>
      <c r="D29" s="105"/>
      <c r="E29" s="10"/>
    </row>
    <row r="30" spans="2:5" x14ac:dyDescent="0.25">
      <c r="B30" s="85">
        <v>43857</v>
      </c>
    </row>
    <row r="31" spans="2:5" x14ac:dyDescent="0.25">
      <c r="B31" s="85">
        <v>43858</v>
      </c>
      <c r="C31" s="105"/>
      <c r="D31" s="105"/>
      <c r="E31" s="10"/>
    </row>
    <row r="32" spans="2:5" x14ac:dyDescent="0.25">
      <c r="B32" s="85">
        <v>43859</v>
      </c>
      <c r="C32" s="105"/>
      <c r="D32" s="105"/>
      <c r="E32" s="10"/>
    </row>
    <row r="33" spans="2:5" x14ac:dyDescent="0.25">
      <c r="B33" s="85">
        <v>43860</v>
      </c>
      <c r="C33" s="105"/>
      <c r="D33" s="105"/>
      <c r="E33" s="10"/>
    </row>
    <row r="34" spans="2:5" x14ac:dyDescent="0.25">
      <c r="B34" s="85">
        <v>43861</v>
      </c>
      <c r="C34" s="105"/>
      <c r="D34" s="105"/>
      <c r="E34" s="10"/>
    </row>
    <row r="35" spans="2:5" x14ac:dyDescent="0.25">
      <c r="B35" s="103" t="s">
        <v>42</v>
      </c>
      <c r="C35" s="105"/>
      <c r="D35" s="105"/>
      <c r="E35" s="10"/>
    </row>
    <row r="36" spans="2:5" ht="13" x14ac:dyDescent="0.25">
      <c r="B36" s="102" t="s">
        <v>43</v>
      </c>
      <c r="C36" s="107"/>
    </row>
    <row r="37" spans="2:5" x14ac:dyDescent="0.25">
      <c r="C37" s="50"/>
    </row>
  </sheetData>
  <mergeCells count="1">
    <mergeCell ref="D2:E2"/>
  </mergeCells>
  <conditionalFormatting sqref="C3:E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{85A7B181-374B-4188-862D-105D62735DB3}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A7B181-374B-4188-862D-105D62735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C3:E3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3744A-C969-44FA-8A71-A88C4D66EB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</vt:lpstr>
      <vt:lpstr>Transbank</vt:lpstr>
      <vt:lpstr>Cheques y trans.</vt:lpstr>
      <vt:lpstr>Retiros</vt:lpstr>
      <vt:lpstr>Cuadratura</vt:lpstr>
      <vt:lpstr>Delivery</vt:lpstr>
      <vt:lpstr>asistencia</vt:lpstr>
      <vt:lpstr>Resumen</vt:lpstr>
      <vt:lpstr>GASTOS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cuadratura marzo 2018</dc:title>
  <dc:subject/>
  <dc:creator>WinuE</dc:creator>
  <cp:keywords/>
  <dc:description/>
  <cp:lastModifiedBy>user</cp:lastModifiedBy>
  <cp:revision/>
  <dcterms:created xsi:type="dcterms:W3CDTF">2011-01-02T14:36:55Z</dcterms:created>
  <dcterms:modified xsi:type="dcterms:W3CDTF">2021-08-02T01:32:40Z</dcterms:modified>
  <cp:category/>
  <cp:contentStatus/>
</cp:coreProperties>
</file>